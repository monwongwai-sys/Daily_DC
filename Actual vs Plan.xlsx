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42" i="1" l="1"/>
  <c r="H42" i="1"/>
  <c r="I42" i="1"/>
  <c r="J42" i="1"/>
  <c r="K42" i="1"/>
  <c r="L42" i="1"/>
  <c r="M42" i="1"/>
  <c r="AL42" i="1"/>
  <c r="D42" i="1"/>
  <c r="G42" i="1"/>
  <c r="AM42" i="1"/>
  <c r="AN42" i="1"/>
  <c r="E42" i="1"/>
  <c r="F42" i="1"/>
  <c r="V42" i="1" l="1"/>
  <c r="U42" i="1"/>
  <c r="T42" i="1"/>
  <c r="O42" i="1"/>
  <c r="X42" i="1"/>
  <c r="N42" i="1"/>
  <c r="P42" i="1"/>
  <c r="S42" i="1"/>
  <c r="AK41" i="1"/>
  <c r="F41" i="1"/>
  <c r="G41" i="1"/>
  <c r="H41" i="1"/>
  <c r="I41" i="1"/>
  <c r="J41" i="1"/>
  <c r="K41" i="1"/>
  <c r="L41" i="1"/>
  <c r="M41" i="1"/>
  <c r="AL41" i="1"/>
  <c r="AM41" i="1"/>
  <c r="AN41" i="1"/>
  <c r="D41" i="1"/>
  <c r="E41" i="1"/>
  <c r="Q42" i="1" l="1"/>
  <c r="R42" i="1"/>
  <c r="V41" i="1"/>
  <c r="U41" i="1"/>
  <c r="T41" i="1"/>
  <c r="O41" i="1"/>
  <c r="S41" i="1"/>
  <c r="X41" i="1"/>
  <c r="N41" i="1"/>
  <c r="P41" i="1"/>
  <c r="Q41" i="1" l="1"/>
  <c r="R41" i="1"/>
  <c r="AK38" i="1" l="1"/>
  <c r="E38" i="1"/>
  <c r="AL38" i="1"/>
  <c r="F38" i="1"/>
  <c r="G38" i="1"/>
  <c r="L38" i="1"/>
  <c r="M38" i="1"/>
  <c r="AM38" i="1"/>
  <c r="AN38" i="1"/>
  <c r="H38" i="1"/>
  <c r="I38" i="1"/>
  <c r="J38" i="1"/>
  <c r="K38" i="1"/>
  <c r="D38" i="1"/>
  <c r="O38" i="1" l="1"/>
  <c r="P38" i="1"/>
  <c r="S38" i="1"/>
  <c r="X38" i="1"/>
  <c r="N38" i="1"/>
  <c r="V38" i="1"/>
  <c r="U38" i="1"/>
  <c r="T38" i="1"/>
  <c r="Q38" i="1" l="1"/>
  <c r="R38" i="1"/>
  <c r="AR4" i="1" l="1"/>
</calcChain>
</file>

<file path=xl/sharedStrings.xml><?xml version="1.0" encoding="utf-8"?>
<sst xmlns="http://schemas.openxmlformats.org/spreadsheetml/2006/main" count="92" uniqueCount="53">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</sst>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I54" sqref="I54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f>_xll.PIArcVal(Sheet1!$A$1,Sheet1!C38,0,"","auto")</f>
        <v>267.52999877929688</v>
      </c>
      <c r="E38" s="6">
        <f>_xll.PIArcVal(Sheet1!$A$2,Sheet1!C38,0,"","auto")</f>
        <v>540.44000244140625</v>
      </c>
      <c r="F38" s="7">
        <f>_xll.PIArcVal(Sheet1!$A$3,Sheet1!C38,0,"","auto")</f>
        <v>421670</v>
      </c>
      <c r="G38" s="7">
        <f>_xll.PIArcVal(Sheet1!$A$4,Sheet1!C38,0,"","auto")</f>
        <v>189995</v>
      </c>
      <c r="H38" s="6">
        <f>_xll.PIArcVal(Sheet1!$A$5,Sheet1!C38,0,"","auto")</f>
        <v>45.75</v>
      </c>
      <c r="I38" s="6">
        <f>_xll.PIArcVal(Sheet1!$A$6,Sheet1!C38,0,"","auto")</f>
        <v>53.220001220703125</v>
      </c>
      <c r="J38" s="6">
        <f>_xll.PIArcVal(Sheet1!$A$7,Sheet1!C38,0,"","auto")</f>
        <v>74605</v>
      </c>
      <c r="K38" s="6">
        <f>_xll.PIArcVal(Sheet1!$A$8,Sheet1!C38,0,"","auto")</f>
        <v>175317</v>
      </c>
      <c r="L38" s="6">
        <f>_xll.PIArcVal(Sheet1!$A$9,Sheet1!C38,0,"","auto")</f>
        <v>1528.800048828125</v>
      </c>
      <c r="M38" s="6">
        <f>_xll.PIArcVal(Sheet1!$A$10,Sheet1!C38,0,"","auto")</f>
        <v>1389.8699951171875</v>
      </c>
      <c r="N38" s="8">
        <f t="shared" ref="N38" si="0">(J38+F38-F37)/(D38*H38/100)/1000</f>
        <v>0.61761522762613918</v>
      </c>
      <c r="O38" s="8">
        <f t="shared" ref="O38" si="1">(K38+G38-G37)/(E38*I38/100)/1000</f>
        <v>0.61760884551520856</v>
      </c>
      <c r="P38" s="8">
        <f t="shared" ref="P38" si="2">((J38+K38)+F38+G38-F37-G37)/(D38*H38/100+E38*I38/100)/1000</f>
        <v>0.61761075065089277</v>
      </c>
      <c r="Q38" s="8">
        <f t="shared" ref="Q38" si="3">P38*H38*10</f>
        <v>282.55691842278344</v>
      </c>
      <c r="R38" s="8">
        <f t="shared" ref="R38" si="4">P38*I38*10</f>
        <v>328.69244903559888</v>
      </c>
      <c r="S38" s="4">
        <f t="shared" ref="S38" si="5">((J38+K38)+F38+G38-F37-G37)/(D38+E38)</f>
        <v>313.41633924206553</v>
      </c>
      <c r="T38" s="5">
        <f t="shared" ref="T38" si="6">IF(AL38&lt;3000,0,AL38)</f>
        <v>214459</v>
      </c>
      <c r="U38" s="5">
        <f t="shared" ref="U38" si="7">IF(AM38&lt;3000,0,AM38)</f>
        <v>0</v>
      </c>
      <c r="V38" s="5">
        <f t="shared" ref="V38" si="8">IF(AN38&lt;3000,0,AN38)</f>
        <v>0</v>
      </c>
      <c r="W38" s="5" t="s">
        <v>51</v>
      </c>
      <c r="X38" s="7">
        <f t="shared" ref="X38" si="9">J38+K38</f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f t="shared" ref="AK38" si="10">SUM(AH38:AJ38)</f>
        <v>250000</v>
      </c>
      <c r="AL38" s="5">
        <f>_xll.PIArcVal(Sheet1!$A$11,Sheet1!C38,0,"","auto")</f>
        <v>214459</v>
      </c>
      <c r="AM38" s="5">
        <f>_xll.PIArcVal(Sheet1!$A$12,Sheet1!C38,0,"","auto")</f>
        <v>274</v>
      </c>
      <c r="AN38" s="5">
        <f>_xll.PIArcVal(Sheet1!$A$13,Sheet1!C38,0,"","auto")</f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f>_xll.PIArcVal(Sheet1!$A$1,Sheet1!C41,0,"","auto")</f>
        <v>325.8699951171875</v>
      </c>
      <c r="E41" s="6">
        <f>_xll.PIArcVal(Sheet1!$A$2,Sheet1!C41,0,"","auto")</f>
        <v>532.15997314453125</v>
      </c>
      <c r="F41" s="7">
        <f>_xll.PIArcVal(Sheet1!$A$3,Sheet1!C41,0,"","auto")</f>
        <v>416906</v>
      </c>
      <c r="G41" s="7">
        <f>_xll.PIArcVal(Sheet1!$A$4,Sheet1!C41,0,"","auto")</f>
        <v>172831</v>
      </c>
      <c r="H41" s="6">
        <f>_xll.PIArcVal(Sheet1!$A$5,Sheet1!C41,0,"","auto")</f>
        <v>43.009998321533203</v>
      </c>
      <c r="I41" s="6">
        <f>_xll.PIArcVal(Sheet1!$A$6,Sheet1!C41,0,"","auto")</f>
        <v>52.189998626708984</v>
      </c>
      <c r="J41" s="6">
        <f>_xll.PIArcVal(Sheet1!$A$7,Sheet1!C41,0,"","auto")</f>
        <v>87671</v>
      </c>
      <c r="K41" s="6">
        <f>_xll.PIArcVal(Sheet1!$A$8,Sheet1!C41,0,"","auto")</f>
        <v>173729</v>
      </c>
      <c r="L41" s="6">
        <f>_xll.PIArcVal(Sheet1!$A$9,Sheet1!C41,0,"","auto")</f>
        <v>1141.699951171875</v>
      </c>
      <c r="M41" s="6">
        <f>_xll.PIArcVal(Sheet1!$A$10,Sheet1!C41,0,"","auto")</f>
        <v>1405.5400390625</v>
      </c>
      <c r="N41" s="8">
        <f t="shared" ref="N41" si="11">(J41+F41-F40)/(D41*H41/100)/1000</f>
        <v>0.58291192636765532</v>
      </c>
      <c r="O41" s="8">
        <f t="shared" ref="O41" si="12">(K41+G41-G40)/(E41*I41/100)/1000</f>
        <v>0.58290967337600053</v>
      </c>
      <c r="P41" s="8">
        <f t="shared" ref="P41" si="13">((J41+K41)+F41+G41-F40-G40)/(D41*H41/100+E41*I41/100)/1000</f>
        <v>0.58291042900810974</v>
      </c>
      <c r="Q41" s="8">
        <f t="shared" ref="Q41" si="14">P41*H41*10</f>
        <v>250.70976573242999</v>
      </c>
      <c r="R41" s="8">
        <f t="shared" ref="R41" si="15">P41*I41*10</f>
        <v>304.22094489427593</v>
      </c>
      <c r="S41" s="4">
        <f t="shared" ref="S41" si="16">((J41+K41)+F41+G41-F40-G40)/(D41+E41)</f>
        <v>283.89800940577237</v>
      </c>
      <c r="T41" s="5">
        <f t="shared" ref="T41" si="17">IF(AL41&lt;3000,0,AL41)</f>
        <v>261643</v>
      </c>
      <c r="U41" s="5">
        <f t="shared" ref="U41" si="18">IF(AM41&lt;3000,0,AM41)</f>
        <v>0</v>
      </c>
      <c r="V41" s="5">
        <f t="shared" ref="V41" si="19">IF(AN41&lt;3000,0,AN41)</f>
        <v>0</v>
      </c>
      <c r="W41" s="5" t="s">
        <v>51</v>
      </c>
      <c r="X41" s="7">
        <f t="shared" ref="X41" si="20">J41+K41</f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f t="shared" ref="AK41" si="21">SUM(AH41:AJ41)</f>
        <v>250000</v>
      </c>
      <c r="AL41" s="5">
        <f>_xll.PIArcVal(Sheet1!$A$11,Sheet1!C41,0,"","auto")</f>
        <v>261643</v>
      </c>
      <c r="AM41" s="5">
        <f>_xll.PIArcVal(Sheet1!$A$12,Sheet1!C41,0,"","auto")</f>
        <v>-274</v>
      </c>
      <c r="AN41" s="5">
        <f>_xll.PIArcVal(Sheet1!$A$13,Sheet1!C41,0,"","auto")</f>
        <v>31</v>
      </c>
    </row>
    <row r="42" spans="2:40">
      <c r="B42" s="20">
        <v>46062</v>
      </c>
      <c r="C42" s="13">
        <v>46063</v>
      </c>
      <c r="D42" s="6">
        <f>_xll.PIArcVal(Sheet1!$A$1,Sheet1!C42,0,"","auto")</f>
        <v>212.72000122070313</v>
      </c>
      <c r="E42" s="6">
        <f>_xll.PIArcVal(Sheet1!$A$2,Sheet1!C42,0,"","auto")</f>
        <v>471.44000244140625</v>
      </c>
      <c r="F42" s="7">
        <f>_xll.PIArcVal(Sheet1!$A$3,Sheet1!C42,0,"","auto")</f>
        <v>408949</v>
      </c>
      <c r="G42" s="7">
        <f>_xll.PIArcVal(Sheet1!$A$4,Sheet1!C42,0,"","auto")</f>
        <v>152483</v>
      </c>
      <c r="H42" s="6">
        <f>_xll.PIArcVal(Sheet1!$A$5,Sheet1!C42,0,"","auto")</f>
        <v>45.610000610351563</v>
      </c>
      <c r="I42" s="6">
        <f>_xll.PIArcVal(Sheet1!$A$6,Sheet1!C42,0,"","auto")</f>
        <v>52.630001068115234</v>
      </c>
      <c r="J42" s="6">
        <f>_xll.PIArcVal(Sheet1!$A$7,Sheet1!C42,0,"","auto")</f>
        <v>68540</v>
      </c>
      <c r="K42" s="6">
        <f>_xll.PIArcVal(Sheet1!$A$8,Sheet1!C42,0,"","auto")</f>
        <v>175283</v>
      </c>
      <c r="L42" s="6">
        <f>_xll.PIArcVal(Sheet1!$A$9,Sheet1!C42,0,"","auto")</f>
        <v>1175.199951171875</v>
      </c>
      <c r="M42" s="6">
        <f>_xll.PIArcVal(Sheet1!$A$10,Sheet1!C42,0,"","auto")</f>
        <v>1585.25</v>
      </c>
      <c r="N42" s="8">
        <f t="shared" ref="N42" si="22">(J42+F42-F41)/(D42*H42/100)/1000</f>
        <v>0.62442800198147663</v>
      </c>
      <c r="O42" s="8">
        <f t="shared" ref="O42" si="23">(K42+G42-G41)/(E42*I42/100)/1000</f>
        <v>0.62443857980007578</v>
      </c>
      <c r="P42" s="8">
        <f t="shared" ref="P42" si="24">((J42+K42)+F42+G42-F41-G41)/(D42*H42/100+E42*I42/100)/1000</f>
        <v>0.62443560629536476</v>
      </c>
      <c r="Q42" s="8">
        <f t="shared" ref="Q42" si="25">P42*H42*10</f>
        <v>284.80508384256837</v>
      </c>
      <c r="R42" s="8">
        <f t="shared" ref="R42" si="26">P42*I42*10</f>
        <v>328.64046626294231</v>
      </c>
      <c r="S42" s="4">
        <f t="shared" ref="S42" si="27">((J42+K42)+F42+G42-F41-G41)/(D42+E42)</f>
        <v>315.01110682646583</v>
      </c>
      <c r="T42" s="5">
        <f t="shared" ref="T42" si="28">IF(AL42&lt;3000,0,AL42)</f>
        <v>261643</v>
      </c>
      <c r="U42" s="5">
        <f t="shared" ref="U42" si="29">IF(AM42&lt;3000,0,AM42)</f>
        <v>0</v>
      </c>
      <c r="V42" s="5">
        <f t="shared" ref="V42" si="30">IF(AN42&lt;3000,0,AN42)</f>
        <v>0</v>
      </c>
      <c r="W42" s="5" t="s">
        <v>51</v>
      </c>
      <c r="X42" s="7">
        <f t="shared" ref="X42" si="31">J42+K42</f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f t="shared" ref="AK42" si="32">SUM(AH42:AJ42)</f>
        <v>250000</v>
      </c>
      <c r="AL42" s="5">
        <f>_xll.PIArcVal(Sheet1!$A$11,Sheet1!C42,0,"","auto")</f>
        <v>261643</v>
      </c>
      <c r="AM42" s="5">
        <f>_xll.PIArcVal(Sheet1!$A$12,Sheet1!C42,0,"","auto")</f>
        <v>-274</v>
      </c>
      <c r="AN42" s="5">
        <f>_xll.PIArcVal(Sheet1!$A$13,Sheet1!C42,0,"","auto")</f>
        <v>31</v>
      </c>
    </row>
    <row r="43" spans="2:40">
      <c r="B43" s="20">
        <v>46063</v>
      </c>
      <c r="C43" s="13">
        <v>46064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spans="2:40">
      <c r="B44" s="20">
        <v>46064</v>
      </c>
      <c r="C44" s="13">
        <v>46065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spans="2:40">
      <c r="B45" s="20">
        <v>46065</v>
      </c>
      <c r="C45" s="13">
        <v>46066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spans="2:40">
      <c r="B46" s="20">
        <v>46066</v>
      </c>
      <c r="C46" s="13">
        <v>46067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2026-02-10T01:06:14Z</dcterms:modified>
</cp:coreProperties>
</file>