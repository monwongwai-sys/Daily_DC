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37" i="1" l="1"/>
  <c r="D37" i="1"/>
  <c r="E37" i="1"/>
  <c r="F37" i="1"/>
  <c r="G37" i="1"/>
  <c r="H37" i="1"/>
  <c r="I37" i="1"/>
  <c r="J37" i="1"/>
  <c r="K37" i="1"/>
  <c r="L37" i="1"/>
  <c r="M37" i="1"/>
  <c r="AL37" i="1"/>
  <c r="AM37" i="1"/>
  <c r="AN37" i="1"/>
  <c r="V37" i="1" l="1"/>
  <c r="U37" i="1"/>
  <c r="T37" i="1"/>
  <c r="O37" i="1"/>
  <c r="X37" i="1"/>
  <c r="S37" i="1"/>
  <c r="N37" i="1"/>
  <c r="P37" i="1"/>
  <c r="Q37" i="1" l="1"/>
  <c r="R37" i="1"/>
  <c r="AR4" i="1" l="1"/>
</calcChain>
</file>

<file path=xl/sharedStrings.xml><?xml version="1.0" encoding="utf-8"?>
<sst xmlns="http://schemas.openxmlformats.org/spreadsheetml/2006/main" count="87" uniqueCount="53">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</sst>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X42" sqref="X42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f>_xll.PIArcVal(Sheet1!$A$1,Sheet1!C37,0,"","auto")</f>
        <v>253.52999877929688</v>
      </c>
      <c r="E37" s="6">
        <f>_xll.PIArcVal(Sheet1!$A$2,Sheet1!C37,0,"","auto")</f>
        <v>447.1400146484375</v>
      </c>
      <c r="F37" s="7">
        <f>_xll.PIArcVal(Sheet1!$A$3,Sheet1!C37,0,"","auto")</f>
        <v>420682</v>
      </c>
      <c r="G37" s="7">
        <f>_xll.PIArcVal(Sheet1!$A$4,Sheet1!C37,0,"","auto")</f>
        <v>187674</v>
      </c>
      <c r="H37" s="6">
        <f>_xll.PIArcVal(Sheet1!$A$5,Sheet1!C37,0,"","auto")</f>
        <v>45.869998931884766</v>
      </c>
      <c r="I37" s="6">
        <f>_xll.PIArcVal(Sheet1!$A$6,Sheet1!C37,0,"","auto")</f>
        <v>53.599998474121094</v>
      </c>
      <c r="J37" s="6">
        <f>_xll.PIArcVal(Sheet1!$A$7,Sheet1!C37,0,"","auto")</f>
        <v>70125</v>
      </c>
      <c r="K37" s="6">
        <f>_xll.PIArcVal(Sheet1!$A$8,Sheet1!C37,0,"","auto")</f>
        <v>144518</v>
      </c>
      <c r="L37" s="6">
        <f>_xll.PIArcVal(Sheet1!$A$9,Sheet1!C37,0,"","auto")</f>
        <v>1198.5999755859375</v>
      </c>
      <c r="M37" s="6">
        <f>_xll.PIArcVal(Sheet1!$A$10,Sheet1!C37,0,"","auto")</f>
        <v>1084.47998046875</v>
      </c>
      <c r="N37" s="8">
        <f t="shared" ref="N37" si="0">(J37+F37-F36)/(D37*H37/100)/1000</f>
        <v>0.56089637886592292</v>
      </c>
      <c r="O37" s="8">
        <f t="shared" ref="O37" si="1">(K37+G37-G36)/(E37*I37/100)/1000</f>
        <v>0.56089481233206262</v>
      </c>
      <c r="P37" s="8">
        <f t="shared" ref="P37" si="2">((J37+K37)+F37+G37-F36-G36)/(D37*H37/100+E37*I37/100)/1000</f>
        <v>0.56089532412601428</v>
      </c>
      <c r="Q37" s="8">
        <f t="shared" ref="Q37" si="3">P37*H37*10</f>
        <v>257.28267918559436</v>
      </c>
      <c r="R37" s="8">
        <f t="shared" ref="R37" si="4">P37*I37*10</f>
        <v>300.63988517296019</v>
      </c>
      <c r="S37" s="4">
        <f t="shared" ref="S37" si="5">((J37+K37)+F37+G37-F36-G36)/(D37+E37)</f>
        <v>284.95154091618934</v>
      </c>
      <c r="T37" s="5">
        <f t="shared" ref="T37" si="6">IF(AL37&lt;3000,0,AL37)</f>
        <v>206677</v>
      </c>
      <c r="U37" s="5">
        <f t="shared" ref="U37" si="7">IF(AM37&lt;3000,0,AM37)</f>
        <v>0</v>
      </c>
      <c r="V37" s="5">
        <f t="shared" ref="V37" si="8">IF(AN37&lt;3000,0,AN37)</f>
        <v>0</v>
      </c>
      <c r="W37" s="5" t="s">
        <v>51</v>
      </c>
      <c r="X37" s="7">
        <f t="shared" ref="X37" si="9">J37+K37</f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f t="shared" ref="AK37" si="10">SUM(AH37:AJ37)</f>
        <v>250000</v>
      </c>
      <c r="AL37" s="5">
        <f>_xll.PIArcVal(Sheet1!$A$11,Sheet1!C37,0,"","auto")</f>
        <v>206677</v>
      </c>
      <c r="AM37" s="5">
        <f>_xll.PIArcVal(Sheet1!$A$12,Sheet1!C37,0,"","auto")</f>
        <v>-19</v>
      </c>
      <c r="AN37" s="5">
        <f>_xll.PIArcVal(Sheet1!$A$13,Sheet1!C37,0,"","auto")</f>
        <v>961</v>
      </c>
    </row>
    <row r="38" spans="2:40">
      <c r="B38" s="20">
        <v>46058</v>
      </c>
      <c r="C38" s="13">
        <v>46059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spans="2:40">
      <c r="B39" s="20">
        <v>46059</v>
      </c>
      <c r="C39" s="13">
        <v>46060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spans="2:40">
      <c r="B40" s="20">
        <v>46060</v>
      </c>
      <c r="C40" s="13">
        <v>46061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spans="2:40">
      <c r="B41" s="20">
        <v>46061</v>
      </c>
      <c r="C41" s="13">
        <v>46062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spans="2:40">
      <c r="B42" s="20">
        <v>46062</v>
      </c>
      <c r="C42" s="13">
        <v>46063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spans="2:40">
      <c r="B43" s="20">
        <v>46063</v>
      </c>
      <c r="C43" s="13">
        <v>46064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spans="2:40">
      <c r="B44" s="20">
        <v>46064</v>
      </c>
      <c r="C44" s="13">
        <v>46065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spans="2:40">
      <c r="B45" s="20">
        <v>46065</v>
      </c>
      <c r="C45" s="13">
        <v>46066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2026-02-05T01:05:17Z</dcterms:modified>
</cp:coreProperties>
</file>