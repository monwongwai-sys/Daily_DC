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esktop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60" i="1" l="1"/>
  <c r="D60" i="1"/>
  <c r="D61" i="1"/>
  <c r="D62" i="1"/>
  <c r="D63" i="1"/>
  <c r="D64" i="1"/>
  <c r="D65" i="1"/>
  <c r="E62" i="1"/>
  <c r="E63" i="1"/>
  <c r="E64" i="1"/>
  <c r="H60" i="1"/>
  <c r="H62" i="1"/>
  <c r="H64" i="1"/>
  <c r="I60" i="1"/>
  <c r="I65" i="1"/>
  <c r="J63" i="1"/>
  <c r="K61" i="1"/>
  <c r="L60" i="1"/>
  <c r="L63" i="1"/>
  <c r="L64" i="1"/>
  <c r="L65" i="1"/>
  <c r="AL61" i="1"/>
  <c r="M64" i="1"/>
  <c r="AM63" i="1"/>
  <c r="AM65" i="1"/>
  <c r="AN64" i="1"/>
  <c r="E60" i="1"/>
  <c r="E61" i="1"/>
  <c r="E65" i="1"/>
  <c r="H63" i="1"/>
  <c r="H65" i="1"/>
  <c r="I63" i="1"/>
  <c r="J61" i="1"/>
  <c r="J64" i="1"/>
  <c r="M61" i="1"/>
  <c r="AL62" i="1"/>
  <c r="M65" i="1"/>
  <c r="AN65" i="1"/>
  <c r="F60" i="1"/>
  <c r="F61" i="1"/>
  <c r="F62" i="1"/>
  <c r="F63" i="1"/>
  <c r="F64" i="1"/>
  <c r="F65" i="1"/>
  <c r="G61" i="1"/>
  <c r="G62" i="1"/>
  <c r="G63" i="1"/>
  <c r="G64" i="1"/>
  <c r="G65" i="1"/>
  <c r="I61" i="1"/>
  <c r="I64" i="1"/>
  <c r="J60" i="1"/>
  <c r="K60" i="1"/>
  <c r="K63" i="1"/>
  <c r="L61" i="1"/>
  <c r="M60" i="1"/>
  <c r="M63" i="1"/>
  <c r="AL65" i="1"/>
  <c r="AM62" i="1"/>
  <c r="AN61" i="1"/>
  <c r="G60" i="1"/>
  <c r="J62" i="1"/>
  <c r="K64" i="1"/>
  <c r="AL60" i="1"/>
  <c r="AL63" i="1"/>
  <c r="AM60" i="1"/>
  <c r="AN60" i="1"/>
  <c r="AN62" i="1"/>
  <c r="H61" i="1"/>
  <c r="I62" i="1"/>
  <c r="J65" i="1"/>
  <c r="K62" i="1"/>
  <c r="K65" i="1"/>
  <c r="L62" i="1"/>
  <c r="M62" i="1"/>
  <c r="AL64" i="1"/>
  <c r="AM61" i="1"/>
  <c r="AM64" i="1"/>
  <c r="AN63" i="1"/>
  <c r="V63" i="1" l="1"/>
  <c r="U64" i="1"/>
  <c r="U61" i="1"/>
  <c r="T64" i="1"/>
  <c r="O65" i="1"/>
  <c r="O62" i="1"/>
  <c r="P65" i="1"/>
  <c r="S65" i="1"/>
  <c r="X65" i="1"/>
  <c r="N65" i="1"/>
  <c r="V62" i="1"/>
  <c r="V60" i="1"/>
  <c r="U60" i="1"/>
  <c r="T63" i="1"/>
  <c r="T60" i="1"/>
  <c r="O64" i="1"/>
  <c r="P62" i="1"/>
  <c r="N62" i="1"/>
  <c r="S62" i="1"/>
  <c r="X62" i="1"/>
  <c r="V61" i="1"/>
  <c r="U62" i="1"/>
  <c r="T65" i="1"/>
  <c r="O63" i="1"/>
  <c r="O60" i="1"/>
  <c r="P60" i="1"/>
  <c r="S60" i="1"/>
  <c r="X60" i="1"/>
  <c r="N60" i="1"/>
  <c r="V65" i="1"/>
  <c r="T62" i="1"/>
  <c r="P64" i="1"/>
  <c r="X64" i="1"/>
  <c r="N64" i="1"/>
  <c r="S64" i="1"/>
  <c r="P61" i="1"/>
  <c r="N61" i="1"/>
  <c r="X61" i="1"/>
  <c r="S61" i="1"/>
  <c r="V64" i="1"/>
  <c r="U65" i="1"/>
  <c r="U63" i="1"/>
  <c r="T61" i="1"/>
  <c r="O61" i="1"/>
  <c r="P63" i="1"/>
  <c r="X63" i="1"/>
  <c r="S63" i="1"/>
  <c r="N63" i="1"/>
  <c r="AK59" i="1"/>
  <c r="D59" i="1"/>
  <c r="H59" i="1"/>
  <c r="J59" i="1"/>
  <c r="K59" i="1"/>
  <c r="L59" i="1"/>
  <c r="AN59" i="1"/>
  <c r="E59" i="1"/>
  <c r="G59" i="1"/>
  <c r="I59" i="1"/>
  <c r="M59" i="1"/>
  <c r="AL59" i="1"/>
  <c r="AM59" i="1"/>
  <c r="F59" i="1"/>
  <c r="Q61" i="1" l="1"/>
  <c r="R61" i="1"/>
  <c r="Q63" i="1"/>
  <c r="R63" i="1"/>
  <c r="Q64" i="1"/>
  <c r="R64" i="1"/>
  <c r="Q65" i="1"/>
  <c r="R65" i="1"/>
  <c r="Q62" i="1"/>
  <c r="R62" i="1"/>
  <c r="Q60" i="1"/>
  <c r="R60" i="1"/>
  <c r="U59" i="1"/>
  <c r="T59" i="1"/>
  <c r="V59" i="1"/>
  <c r="O59" i="1"/>
  <c r="X59" i="1"/>
  <c r="N59" i="1"/>
  <c r="P59" i="1"/>
  <c r="S59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8" i="1"/>
  <c r="R59" i="1" l="1"/>
  <c r="Q59" i="1"/>
  <c r="D58" i="1"/>
  <c r="G58" i="1"/>
  <c r="H58" i="1"/>
  <c r="K58" i="1"/>
  <c r="L58" i="1"/>
  <c r="M58" i="1"/>
  <c r="AL58" i="1"/>
  <c r="I58" i="1"/>
  <c r="J58" i="1"/>
  <c r="AM58" i="1"/>
  <c r="AN58" i="1"/>
  <c r="E58" i="1"/>
  <c r="F58" i="1"/>
  <c r="V58" i="1" l="1"/>
  <c r="U58" i="1"/>
  <c r="P58" i="1"/>
  <c r="X58" i="1"/>
  <c r="N58" i="1"/>
  <c r="S58" i="1"/>
  <c r="T58" i="1"/>
  <c r="O58" i="1"/>
  <c r="D57" i="1"/>
  <c r="E57" i="1"/>
  <c r="I57" i="1"/>
  <c r="K57" i="1"/>
  <c r="M57" i="1"/>
  <c r="AN57" i="1"/>
  <c r="F57" i="1"/>
  <c r="G57" i="1"/>
  <c r="H57" i="1"/>
  <c r="J57" i="1"/>
  <c r="L57" i="1"/>
  <c r="AL57" i="1"/>
  <c r="AM57" i="1"/>
  <c r="Q58" i="1" l="1"/>
  <c r="R58" i="1"/>
  <c r="U57" i="1"/>
  <c r="T57" i="1"/>
  <c r="P57" i="1"/>
  <c r="X57" i="1"/>
  <c r="N57" i="1"/>
  <c r="S57" i="1"/>
  <c r="V57" i="1"/>
  <c r="O57" i="1"/>
  <c r="D56" i="1"/>
  <c r="E56" i="1"/>
  <c r="F56" i="1"/>
  <c r="G56" i="1"/>
  <c r="AL56" i="1"/>
  <c r="AM56" i="1"/>
  <c r="H56" i="1"/>
  <c r="K56" i="1"/>
  <c r="L56" i="1"/>
  <c r="AN56" i="1"/>
  <c r="I56" i="1"/>
  <c r="J56" i="1"/>
  <c r="M56" i="1"/>
  <c r="Q57" i="1" l="1"/>
  <c r="R57" i="1"/>
  <c r="P56" i="1"/>
  <c r="S56" i="1"/>
  <c r="X56" i="1"/>
  <c r="N56" i="1"/>
  <c r="V56" i="1"/>
  <c r="O56" i="1"/>
  <c r="U56" i="1"/>
  <c r="T56" i="1"/>
  <c r="Q56" i="1" l="1"/>
  <c r="R56" i="1"/>
  <c r="AR4" i="1" l="1"/>
</calcChain>
</file>

<file path=xl/sharedStrings.xml><?xml version="1.0" encoding="utf-8"?>
<sst xmlns="http://schemas.openxmlformats.org/spreadsheetml/2006/main" count="115" uniqueCount="54">
  <si>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</si>
  <si>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</si>
  <si>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</si>
  <si>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</si>
  <si>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</si>
  <si>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</si>
  <si>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</si>
  <si>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</si>
  <si>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</si>
  <si>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</si>
  <si>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</si>
  <si>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</si>
  <si>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</si>
  <si>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</si>
  <si>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</si>
  <si>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</si>
  <si>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</si>
  <si>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</si>
  <si>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</si>
  <si>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</si>
  <si>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</si>
  <si>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</si>
  <si>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</si>
  <si>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</si>
  <si>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</si>
  <si>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</si>
  <si>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</si>
  <si>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</si>
  <si>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</si>
  <si>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</si>
  <si>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</si>
  <si>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</si>
  <si>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</si>
  <si>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</si>
  <si>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</si>
  <si>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</si>
  <si>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</si>
  <si>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</si>
  <si>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</si>
  <si>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</si>
  <si>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</si>
  <si>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</si>
  <si>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</si>
  <si>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</si>
  <si>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</si>
  <si>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</si>
  <si>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</si>
  <si>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</si>
  <si>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</si>
  <si>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</si>
  <si>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</si>
  <si>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</si>
  <si>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</si>
  <si>
    <t>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</si>
</sst>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1400</c:v>
                </c:pt>
                <c:pt idx="1">
                  <c:v>1400</c:v>
                </c:pt>
                <c:pt idx="2">
                  <c:v>1400</c:v>
                </c:pt>
                <c:pt idx="3">
                  <c:v>1400</c:v>
                </c:pt>
                <c:pt idx="4">
                  <c:v>1400</c:v>
                </c:pt>
                <c:pt idx="5">
                  <c:v>1400</c:v>
                </c:pt>
                <c:pt idx="6">
                  <c:v>1400</c:v>
                </c:pt>
                <c:pt idx="7">
                  <c:v>1400</c:v>
                </c:pt>
                <c:pt idx="8">
                  <c:v>1400</c:v>
                </c:pt>
                <c:pt idx="9">
                  <c:v>1400</c:v>
                </c:pt>
                <c:pt idx="10">
                  <c:v>1400</c:v>
                </c:pt>
                <c:pt idx="11">
                  <c:v>1400</c:v>
                </c:pt>
                <c:pt idx="12">
                  <c:v>1400</c:v>
                </c:pt>
                <c:pt idx="13">
                  <c:v>1400</c:v>
                </c:pt>
                <c:pt idx="14">
                  <c:v>1400</c:v>
                </c:pt>
                <c:pt idx="15">
                  <c:v>1400</c:v>
                </c:pt>
                <c:pt idx="16">
                  <c:v>1400</c:v>
                </c:pt>
                <c:pt idx="17">
                  <c:v>1400</c:v>
                </c:pt>
                <c:pt idx="18">
                  <c:v>1400</c:v>
                </c:pt>
                <c:pt idx="19">
                  <c:v>1400</c:v>
                </c:pt>
                <c:pt idx="20">
                  <c:v>1400</c:v>
                </c:pt>
                <c:pt idx="21">
                  <c:v>1400</c:v>
                </c:pt>
                <c:pt idx="22">
                  <c:v>1400</c:v>
                </c:pt>
                <c:pt idx="23">
                  <c:v>1400</c:v>
                </c:pt>
                <c:pt idx="24">
                  <c:v>1400</c:v>
                </c:pt>
                <c:pt idx="25">
                  <c:v>1400</c:v>
                </c:pt>
                <c:pt idx="26">
                  <c:v>1400</c:v>
                </c:pt>
                <c:pt idx="27">
                  <c:v>1400</c:v>
                </c:pt>
                <c:pt idx="28">
                  <c:v>1400</c:v>
                </c:pt>
                <c:pt idx="29">
                  <c:v>1400</c:v>
                </c:pt>
                <c:pt idx="30">
                  <c:v>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1667</c:v>
                </c:pt>
                <c:pt idx="1">
                  <c:v>1667</c:v>
                </c:pt>
                <c:pt idx="2">
                  <c:v>1667</c:v>
                </c:pt>
                <c:pt idx="3">
                  <c:v>1667</c:v>
                </c:pt>
                <c:pt idx="4">
                  <c:v>1667</c:v>
                </c:pt>
                <c:pt idx="5">
                  <c:v>1667</c:v>
                </c:pt>
                <c:pt idx="6">
                  <c:v>1667</c:v>
                </c:pt>
                <c:pt idx="7">
                  <c:v>1667</c:v>
                </c:pt>
                <c:pt idx="8">
                  <c:v>1667</c:v>
                </c:pt>
                <c:pt idx="9">
                  <c:v>1667</c:v>
                </c:pt>
                <c:pt idx="10">
                  <c:v>1667</c:v>
                </c:pt>
                <c:pt idx="11">
                  <c:v>1667</c:v>
                </c:pt>
                <c:pt idx="12">
                  <c:v>1667</c:v>
                </c:pt>
                <c:pt idx="13">
                  <c:v>1667</c:v>
                </c:pt>
                <c:pt idx="14">
                  <c:v>1667</c:v>
                </c:pt>
                <c:pt idx="15">
                  <c:v>1667</c:v>
                </c:pt>
                <c:pt idx="16">
                  <c:v>1667</c:v>
                </c:pt>
                <c:pt idx="17">
                  <c:v>1667</c:v>
                </c:pt>
                <c:pt idx="18">
                  <c:v>1667</c:v>
                </c:pt>
                <c:pt idx="19">
                  <c:v>1667</c:v>
                </c:pt>
                <c:pt idx="20">
                  <c:v>1667</c:v>
                </c:pt>
                <c:pt idx="21">
                  <c:v>1667</c:v>
                </c:pt>
                <c:pt idx="22">
                  <c:v>1667</c:v>
                </c:pt>
                <c:pt idx="23">
                  <c:v>1667</c:v>
                </c:pt>
                <c:pt idx="24">
                  <c:v>1667</c:v>
                </c:pt>
                <c:pt idx="25">
                  <c:v>1667</c:v>
                </c:pt>
                <c:pt idx="26">
                  <c:v>1667</c:v>
                </c:pt>
                <c:pt idx="27">
                  <c:v>1667</c:v>
                </c:pt>
                <c:pt idx="28">
                  <c:v>1667</c:v>
                </c:pt>
                <c:pt idx="29">
                  <c:v>1667</c:v>
                </c:pt>
                <c:pt idx="30">
                  <c:v>1667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253500</c:v>
                </c:pt>
                <c:pt idx="6">
                  <c:v>253500</c:v>
                </c:pt>
                <c:pt idx="7">
                  <c:v>253500</c:v>
                </c:pt>
                <c:pt idx="8">
                  <c:v>253500</c:v>
                </c:pt>
                <c:pt idx="9">
                  <c:v>253500</c:v>
                </c:pt>
                <c:pt idx="10">
                  <c:v>253500</c:v>
                </c:pt>
                <c:pt idx="11">
                  <c:v>253500</c:v>
                </c:pt>
                <c:pt idx="12">
                  <c:v>253500</c:v>
                </c:pt>
                <c:pt idx="13">
                  <c:v>253500</c:v>
                </c:pt>
                <c:pt idx="14">
                  <c:v>253500</c:v>
                </c:pt>
                <c:pt idx="15">
                  <c:v>253500</c:v>
                </c:pt>
                <c:pt idx="16">
                  <c:v>253500</c:v>
                </c:pt>
                <c:pt idx="17">
                  <c:v>253500</c:v>
                </c:pt>
                <c:pt idx="18">
                  <c:v>253500</c:v>
                </c:pt>
                <c:pt idx="19">
                  <c:v>253500</c:v>
                </c:pt>
                <c:pt idx="20">
                  <c:v>253500</c:v>
                </c:pt>
                <c:pt idx="21">
                  <c:v>253500</c:v>
                </c:pt>
                <c:pt idx="22">
                  <c:v>253500</c:v>
                </c:pt>
                <c:pt idx="23">
                  <c:v>253500</c:v>
                </c:pt>
                <c:pt idx="24">
                  <c:v>253500</c:v>
                </c:pt>
                <c:pt idx="25">
                  <c:v>253500</c:v>
                </c:pt>
                <c:pt idx="26">
                  <c:v>253500</c:v>
                </c:pt>
                <c:pt idx="27">
                  <c:v>253500</c:v>
                </c:pt>
                <c:pt idx="28">
                  <c:v>253500</c:v>
                </c:pt>
                <c:pt idx="29">
                  <c:v>253500</c:v>
                </c:pt>
                <c:pt idx="30">
                  <c:v>253500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L26" activePane="bottomRight" state="frozen"/>
      <selection pane="topRight" activeCell="C1" sqref="C1"/>
      <selection pane="bottomLeft" activeCell="A2" sqref="A2"/>
      <selection pane="bottomRight" activeCell="Y75" sqref="Y75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1400</v>
      </c>
      <c r="AG3" s="9">
        <v>1667</v>
      </c>
      <c r="AH3" s="4">
        <v>253500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 customHeight="1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1400</v>
      </c>
      <c r="AG4" s="9">
        <v>1667</v>
      </c>
      <c r="AH4" s="4">
        <v>253500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</row>
    <row r="5" spans="1:64" ht="16" customHeight="1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1400</v>
      </c>
      <c r="AG5" s="9">
        <v>1667</v>
      </c>
      <c r="AH5" s="4">
        <v>253500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</row>
    <row r="6" spans="1:64" ht="16" customHeight="1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1400</v>
      </c>
      <c r="AG6" s="9">
        <v>1667</v>
      </c>
      <c r="AH6" s="4">
        <v>253500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1400</v>
      </c>
      <c r="AG7" s="9">
        <v>1667</v>
      </c>
      <c r="AH7" s="4">
        <v>253500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1400</v>
      </c>
      <c r="AG8" s="9">
        <v>1667</v>
      </c>
      <c r="AH8" s="4">
        <v>253500</v>
      </c>
      <c r="AI8" s="9">
        <v>0</v>
      </c>
      <c r="AJ8" s="9">
        <v>0</v>
      </c>
      <c r="AK8" s="4">
        <f>SUM(AH8:AJ8)</f>
        <v>253500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1400</v>
      </c>
      <c r="AG9" s="9">
        <v>1667</v>
      </c>
      <c r="AH9" s="4">
        <v>253500</v>
      </c>
      <c r="AI9" s="9">
        <v>0</v>
      </c>
      <c r="AJ9" s="9">
        <v>0</v>
      </c>
      <c r="AK9" s="4">
        <f t="shared" ref="AK9:AK58" si="0">SUM(AH9:AJ9)</f>
        <v>253500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1400</v>
      </c>
      <c r="AG10" s="9">
        <v>1667</v>
      </c>
      <c r="AH10" s="4">
        <v>253500</v>
      </c>
      <c r="AI10" s="9">
        <v>0</v>
      </c>
      <c r="AJ10" s="9">
        <v>0</v>
      </c>
      <c r="AK10" s="4">
        <f t="shared" si="0"/>
        <v>253500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1400</v>
      </c>
      <c r="AG11" s="9">
        <v>1667</v>
      </c>
      <c r="AH11" s="4">
        <v>253500</v>
      </c>
      <c r="AI11" s="9">
        <v>0</v>
      </c>
      <c r="AJ11" s="9">
        <v>0</v>
      </c>
      <c r="AK11" s="4">
        <f t="shared" si="0"/>
        <v>253500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1400</v>
      </c>
      <c r="AG12" s="9">
        <v>1667</v>
      </c>
      <c r="AH12" s="4">
        <v>253500</v>
      </c>
      <c r="AI12" s="9">
        <v>0</v>
      </c>
      <c r="AJ12" s="9">
        <v>0</v>
      </c>
      <c r="AK12" s="4">
        <f t="shared" si="0"/>
        <v>253500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1400</v>
      </c>
      <c r="AG13" s="9">
        <v>1667</v>
      </c>
      <c r="AH13" s="4">
        <v>253500</v>
      </c>
      <c r="AI13" s="9">
        <v>0</v>
      </c>
      <c r="AJ13" s="9">
        <v>0</v>
      </c>
      <c r="AK13" s="4">
        <f t="shared" si="0"/>
        <v>253500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1400</v>
      </c>
      <c r="AG14" s="9">
        <v>1667</v>
      </c>
      <c r="AH14" s="4">
        <v>253500</v>
      </c>
      <c r="AI14" s="9">
        <v>0</v>
      </c>
      <c r="AJ14" s="9">
        <v>0</v>
      </c>
      <c r="AK14" s="4">
        <f t="shared" si="0"/>
        <v>253500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1400</v>
      </c>
      <c r="AG15" s="9">
        <v>1667</v>
      </c>
      <c r="AH15" s="4">
        <v>253500</v>
      </c>
      <c r="AI15" s="9">
        <v>0</v>
      </c>
      <c r="AJ15" s="9">
        <v>0</v>
      </c>
      <c r="AK15" s="4">
        <f t="shared" si="0"/>
        <v>253500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1400</v>
      </c>
      <c r="AG16" s="9">
        <v>1667</v>
      </c>
      <c r="AH16" s="4">
        <v>253500</v>
      </c>
      <c r="AI16" s="9">
        <v>0</v>
      </c>
      <c r="AJ16" s="9">
        <v>0</v>
      </c>
      <c r="AK16" s="4">
        <f t="shared" si="0"/>
        <v>253500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1400</v>
      </c>
      <c r="AG17" s="9">
        <v>1667</v>
      </c>
      <c r="AH17" s="4">
        <v>253500</v>
      </c>
      <c r="AI17" s="9">
        <v>0</v>
      </c>
      <c r="AJ17" s="9">
        <v>0</v>
      </c>
      <c r="AK17" s="4">
        <f t="shared" si="0"/>
        <v>253500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1400</v>
      </c>
      <c r="AG18" s="9">
        <v>1667</v>
      </c>
      <c r="AH18" s="4">
        <v>253500</v>
      </c>
      <c r="AI18" s="9">
        <v>0</v>
      </c>
      <c r="AJ18" s="9">
        <v>0</v>
      </c>
      <c r="AK18" s="4">
        <f t="shared" si="0"/>
        <v>253500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1400</v>
      </c>
      <c r="AG19" s="9">
        <v>1667</v>
      </c>
      <c r="AH19" s="4">
        <v>253500</v>
      </c>
      <c r="AI19" s="9">
        <v>0</v>
      </c>
      <c r="AJ19" s="9">
        <v>0</v>
      </c>
      <c r="AK19" s="4">
        <f t="shared" si="0"/>
        <v>253500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1400</v>
      </c>
      <c r="AG20" s="9">
        <v>1667</v>
      </c>
      <c r="AH20" s="4">
        <v>253500</v>
      </c>
      <c r="AI20" s="9">
        <v>0</v>
      </c>
      <c r="AJ20" s="9">
        <v>0</v>
      </c>
      <c r="AK20" s="4">
        <f t="shared" si="0"/>
        <v>253500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1400</v>
      </c>
      <c r="AG21" s="9">
        <v>1667</v>
      </c>
      <c r="AH21" s="4">
        <v>253500</v>
      </c>
      <c r="AI21" s="9">
        <v>0</v>
      </c>
      <c r="AJ21" s="9">
        <v>0</v>
      </c>
      <c r="AK21" s="4">
        <f t="shared" si="0"/>
        <v>253500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1400</v>
      </c>
      <c r="AG22" s="9">
        <v>1667</v>
      </c>
      <c r="AH22" s="4">
        <v>253500</v>
      </c>
      <c r="AI22" s="9">
        <v>0</v>
      </c>
      <c r="AJ22" s="9">
        <v>0</v>
      </c>
      <c r="AK22" s="4">
        <f t="shared" si="0"/>
        <v>253500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1400</v>
      </c>
      <c r="AG23" s="9">
        <v>1667</v>
      </c>
      <c r="AH23" s="4">
        <v>253500</v>
      </c>
      <c r="AI23" s="9">
        <v>0</v>
      </c>
      <c r="AJ23" s="9">
        <v>0</v>
      </c>
      <c r="AK23" s="4">
        <f t="shared" si="0"/>
        <v>253500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1400</v>
      </c>
      <c r="AG24" s="9">
        <v>1667</v>
      </c>
      <c r="AH24" s="4">
        <v>253500</v>
      </c>
      <c r="AI24" s="9">
        <v>0</v>
      </c>
      <c r="AJ24" s="9">
        <v>0</v>
      </c>
      <c r="AK24" s="4">
        <f t="shared" si="0"/>
        <v>253500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1400</v>
      </c>
      <c r="AG25" s="9">
        <v>1667</v>
      </c>
      <c r="AH25" s="4">
        <v>253500</v>
      </c>
      <c r="AI25" s="9">
        <v>0</v>
      </c>
      <c r="AJ25" s="9">
        <v>0</v>
      </c>
      <c r="AK25" s="4">
        <f t="shared" si="0"/>
        <v>253500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1400</v>
      </c>
      <c r="AG26" s="9">
        <v>1667</v>
      </c>
      <c r="AH26" s="4">
        <v>253500</v>
      </c>
      <c r="AI26" s="9">
        <v>0</v>
      </c>
      <c r="AJ26" s="9">
        <v>0</v>
      </c>
      <c r="AK26" s="4">
        <f t="shared" si="0"/>
        <v>253500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1400</v>
      </c>
      <c r="AG27" s="9">
        <v>1667</v>
      </c>
      <c r="AH27" s="4">
        <v>253500</v>
      </c>
      <c r="AI27" s="9">
        <v>0</v>
      </c>
      <c r="AJ27" s="9">
        <v>0</v>
      </c>
      <c r="AK27" s="4">
        <f t="shared" si="0"/>
        <v>253500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1400</v>
      </c>
      <c r="AG28" s="9">
        <v>1667</v>
      </c>
      <c r="AH28" s="4">
        <v>253500</v>
      </c>
      <c r="AI28" s="9">
        <v>0</v>
      </c>
      <c r="AJ28" s="9">
        <v>0</v>
      </c>
      <c r="AK28" s="4">
        <f t="shared" si="0"/>
        <v>253500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1400</v>
      </c>
      <c r="AG29" s="9">
        <v>1667</v>
      </c>
      <c r="AH29" s="4">
        <v>253500</v>
      </c>
      <c r="AI29" s="9">
        <v>0</v>
      </c>
      <c r="AJ29" s="9">
        <v>0</v>
      </c>
      <c r="AK29" s="4">
        <f t="shared" si="0"/>
        <v>253500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1400</v>
      </c>
      <c r="AG30" s="9">
        <v>1667</v>
      </c>
      <c r="AH30" s="4">
        <v>253500</v>
      </c>
      <c r="AI30" s="9">
        <v>0</v>
      </c>
      <c r="AJ30" s="9">
        <v>0</v>
      </c>
      <c r="AK30" s="4">
        <f t="shared" si="0"/>
        <v>253500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1400</v>
      </c>
      <c r="AG31" s="9">
        <v>1667</v>
      </c>
      <c r="AH31" s="4">
        <v>253500</v>
      </c>
      <c r="AI31" s="9">
        <v>0</v>
      </c>
      <c r="AJ31" s="9">
        <v>0</v>
      </c>
      <c r="AK31" s="4">
        <f t="shared" si="0"/>
        <v>253500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1400</v>
      </c>
      <c r="AG32" s="9">
        <v>1667</v>
      </c>
      <c r="AH32" s="4">
        <v>253500</v>
      </c>
      <c r="AI32" s="9">
        <v>0</v>
      </c>
      <c r="AJ32" s="9">
        <v>0</v>
      </c>
      <c r="AK32" s="4">
        <f t="shared" si="0"/>
        <v>253500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1400</v>
      </c>
      <c r="AG33" s="9">
        <v>1667</v>
      </c>
      <c r="AH33" s="4">
        <v>253500</v>
      </c>
      <c r="AI33" s="9">
        <v>0</v>
      </c>
      <c r="AJ33" s="9">
        <v>0</v>
      </c>
      <c r="AK33" s="4">
        <f t="shared" si="0"/>
        <v>253500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1072</v>
      </c>
      <c r="AG34" s="9">
        <v>830</v>
      </c>
      <c r="AH34" s="4">
        <v>252143</v>
      </c>
      <c r="AI34" s="9">
        <v>0</v>
      </c>
      <c r="AJ34" s="9">
        <v>0</v>
      </c>
      <c r="AK34" s="4">
        <f t="shared" si="0"/>
        <v>252143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1072</v>
      </c>
      <c r="AG35" s="9">
        <v>830</v>
      </c>
      <c r="AH35" s="4">
        <v>252143</v>
      </c>
      <c r="AI35" s="9">
        <v>0</v>
      </c>
      <c r="AJ35" s="9">
        <v>0</v>
      </c>
      <c r="AK35" s="4">
        <f t="shared" si="0"/>
        <v>252143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1072</v>
      </c>
      <c r="AG36" s="9">
        <v>830</v>
      </c>
      <c r="AH36" s="4">
        <v>252143</v>
      </c>
      <c r="AI36" s="9">
        <v>0</v>
      </c>
      <c r="AJ36" s="9">
        <v>0</v>
      </c>
      <c r="AK36" s="4">
        <f t="shared" si="0"/>
        <v>252143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1072</v>
      </c>
      <c r="AG37" s="9">
        <v>830</v>
      </c>
      <c r="AH37" s="4">
        <v>252143</v>
      </c>
      <c r="AI37" s="9">
        <v>0</v>
      </c>
      <c r="AJ37" s="9">
        <v>0</v>
      </c>
      <c r="AK37" s="4">
        <f t="shared" si="0"/>
        <v>252143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1072</v>
      </c>
      <c r="AG38" s="9">
        <v>830</v>
      </c>
      <c r="AH38" s="4">
        <v>252143</v>
      </c>
      <c r="AI38" s="9">
        <v>0</v>
      </c>
      <c r="AJ38" s="9">
        <v>0</v>
      </c>
      <c r="AK38" s="4">
        <f t="shared" si="0"/>
        <v>252143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1072</v>
      </c>
      <c r="AG39" s="9">
        <v>830</v>
      </c>
      <c r="AH39" s="4">
        <v>252143</v>
      </c>
      <c r="AI39" s="9">
        <v>0</v>
      </c>
      <c r="AJ39" s="9">
        <v>0</v>
      </c>
      <c r="AK39" s="4">
        <f t="shared" si="0"/>
        <v>252143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1072</v>
      </c>
      <c r="AG40" s="9">
        <v>830</v>
      </c>
      <c r="AH40" s="4">
        <v>252143</v>
      </c>
      <c r="AI40" s="9">
        <v>0</v>
      </c>
      <c r="AJ40" s="9">
        <v>0</v>
      </c>
      <c r="AK40" s="4">
        <f t="shared" si="0"/>
        <v>252143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1072</v>
      </c>
      <c r="AG41" s="9">
        <v>830</v>
      </c>
      <c r="AH41" s="4">
        <v>252143</v>
      </c>
      <c r="AI41" s="9">
        <v>0</v>
      </c>
      <c r="AJ41" s="9">
        <v>0</v>
      </c>
      <c r="AK41" s="4">
        <f t="shared" si="0"/>
        <v>252143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1072</v>
      </c>
      <c r="AG42" s="9">
        <v>830</v>
      </c>
      <c r="AH42" s="4">
        <v>252143</v>
      </c>
      <c r="AI42" s="9">
        <v>0</v>
      </c>
      <c r="AJ42" s="9">
        <v>0</v>
      </c>
      <c r="AK42" s="4">
        <f t="shared" si="0"/>
        <v>252143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1072</v>
      </c>
      <c r="AG43" s="9">
        <v>830</v>
      </c>
      <c r="AH43" s="4">
        <v>252143</v>
      </c>
      <c r="AI43" s="9">
        <v>0</v>
      </c>
      <c r="AJ43" s="9">
        <v>0</v>
      </c>
      <c r="AK43" s="4">
        <f t="shared" si="0"/>
        <v>252143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1072</v>
      </c>
      <c r="AG44" s="9">
        <v>830</v>
      </c>
      <c r="AH44" s="4">
        <v>252143</v>
      </c>
      <c r="AI44" s="9">
        <v>0</v>
      </c>
      <c r="AJ44" s="9">
        <v>0</v>
      </c>
      <c r="AK44" s="4">
        <f t="shared" si="0"/>
        <v>252143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v>212.62471008300781</v>
      </c>
      <c r="E45" s="6">
        <v>613.58050537109375</v>
      </c>
      <c r="F45" s="7">
        <v>410518.28125</v>
      </c>
      <c r="G45" s="7">
        <v>157520.953125</v>
      </c>
      <c r="H45" s="6">
        <v>44.859916687011719</v>
      </c>
      <c r="I45" s="6">
        <v>52.539974212646484</v>
      </c>
      <c r="J45" s="6">
        <v>58943.1640625</v>
      </c>
      <c r="K45" s="6">
        <v>199215.78125</v>
      </c>
      <c r="L45" s="6">
        <v>1093.8612060546875</v>
      </c>
      <c r="M45" s="6">
        <v>1078.426513671875</v>
      </c>
      <c r="N45" s="8">
        <v>0.63146762217535901</v>
      </c>
      <c r="O45" s="8">
        <v>0.63146555893309519</v>
      </c>
      <c r="P45" s="8">
        <v>0.63146603001598223</v>
      </c>
      <c r="Q45" s="8">
        <v>283.27513497195002</v>
      </c>
      <c r="R45" s="8">
        <v>331.77208933201962</v>
      </c>
      <c r="S45" s="4">
        <v>319.29135129280115</v>
      </c>
      <c r="T45" s="5">
        <v>258112.046875</v>
      </c>
      <c r="U45" s="5">
        <v>0</v>
      </c>
      <c r="V45" s="5">
        <v>0</v>
      </c>
      <c r="W45" s="5" t="s">
        <v>51</v>
      </c>
      <c r="X45" s="7">
        <v>258158.9453125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1072</v>
      </c>
      <c r="AG45" s="9">
        <v>830</v>
      </c>
      <c r="AH45" s="4">
        <v>252143</v>
      </c>
      <c r="AI45" s="9">
        <v>0</v>
      </c>
      <c r="AJ45" s="9">
        <v>0</v>
      </c>
      <c r="AK45" s="4">
        <f t="shared" si="0"/>
        <v>252143</v>
      </c>
      <c r="AL45" s="5">
        <v>258112.046875</v>
      </c>
      <c r="AM45" s="5">
        <v>84.006019592285156</v>
      </c>
      <c r="AN45" s="5">
        <v>-39.998458862304688</v>
      </c>
    </row>
    <row r="46" spans="2:40">
      <c r="B46" s="20">
        <v>46066</v>
      </c>
      <c r="C46" s="13">
        <v>46067</v>
      </c>
      <c r="D46" s="6">
        <v>205.01460266113281</v>
      </c>
      <c r="E46" s="6">
        <v>599.85833740234375</v>
      </c>
      <c r="F46" s="7">
        <v>410911.1875</v>
      </c>
      <c r="G46" s="7">
        <v>158870.421875</v>
      </c>
      <c r="H46" s="6">
        <v>44.740272521972656</v>
      </c>
      <c r="I46" s="6">
        <v>52.499916076660156</v>
      </c>
      <c r="J46" s="6">
        <v>59182.0234375</v>
      </c>
      <c r="K46" s="6">
        <v>203194.90625</v>
      </c>
      <c r="L46" s="6">
        <v>1325.858642578125</v>
      </c>
      <c r="M46" s="6">
        <v>1332.3580322265625</v>
      </c>
      <c r="N46" s="8">
        <v>0.64950143879528022</v>
      </c>
      <c r="O46" s="8">
        <v>0.64950161037344356</v>
      </c>
      <c r="P46" s="8">
        <v>0.6495015716721485</v>
      </c>
      <c r="Q46" s="8">
        <v>290.58877320061481</v>
      </c>
      <c r="R46" s="8">
        <v>340.98778004446666</v>
      </c>
      <c r="S46" s="4">
        <v>328.15030986961762</v>
      </c>
      <c r="T46" s="5">
        <v>261691.796875</v>
      </c>
      <c r="U46" s="5">
        <v>0</v>
      </c>
      <c r="V46" s="5">
        <v>0</v>
      </c>
      <c r="W46" s="5" t="s">
        <v>51</v>
      </c>
      <c r="X46" s="7">
        <v>262376.9296875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1072</v>
      </c>
      <c r="AG46" s="9">
        <v>830</v>
      </c>
      <c r="AH46" s="4">
        <v>252143</v>
      </c>
      <c r="AI46" s="9">
        <v>0</v>
      </c>
      <c r="AJ46" s="9">
        <v>0</v>
      </c>
      <c r="AK46" s="4">
        <f t="shared" si="0"/>
        <v>252143</v>
      </c>
      <c r="AL46" s="5">
        <v>261691.796875</v>
      </c>
      <c r="AM46" s="5">
        <v>603.99896240234375</v>
      </c>
      <c r="AN46" s="5">
        <v>92.998359680175781</v>
      </c>
    </row>
    <row r="47" spans="2:40">
      <c r="B47" s="20">
        <v>46067</v>
      </c>
      <c r="C47" s="13">
        <v>46068</v>
      </c>
      <c r="D47" s="6">
        <v>211.64106750488281</v>
      </c>
      <c r="E47" s="6">
        <v>554.2242431640625</v>
      </c>
      <c r="F47" s="7">
        <v>405426.375</v>
      </c>
      <c r="G47" s="7">
        <v>142202.21875</v>
      </c>
      <c r="H47" s="6">
        <v>45.129909515380859</v>
      </c>
      <c r="I47" s="6">
        <v>52.380168914794922</v>
      </c>
      <c r="J47" s="6">
        <v>60646.63671875</v>
      </c>
      <c r="K47" s="6">
        <v>184332.25</v>
      </c>
      <c r="L47" s="6">
        <v>1266.32861328125</v>
      </c>
      <c r="M47" s="6">
        <v>1257.6495361328125</v>
      </c>
      <c r="N47" s="8">
        <v>0.57752955461318356</v>
      </c>
      <c r="O47" s="8">
        <v>0.57754726402002177</v>
      </c>
      <c r="P47" s="8">
        <v>0.57754287985348995</v>
      </c>
      <c r="Q47" s="8">
        <v>260.64457909040482</v>
      </c>
      <c r="R47" s="8">
        <v>302.51793602262916</v>
      </c>
      <c r="S47" s="4">
        <v>290.94655155372249</v>
      </c>
      <c r="T47" s="5">
        <v>244544.515625</v>
      </c>
      <c r="U47" s="5">
        <v>0</v>
      </c>
      <c r="V47" s="5">
        <v>0</v>
      </c>
      <c r="W47" s="5" t="s">
        <v>51</v>
      </c>
      <c r="X47" s="7"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1072</v>
      </c>
      <c r="AG47" s="9">
        <v>830</v>
      </c>
      <c r="AH47" s="4">
        <v>252143</v>
      </c>
      <c r="AI47" s="9">
        <v>0</v>
      </c>
      <c r="AJ47" s="9">
        <v>0</v>
      </c>
      <c r="AK47" s="4">
        <f t="shared" si="0"/>
        <v>252143</v>
      </c>
      <c r="AL47" s="5">
        <v>244544.515625</v>
      </c>
      <c r="AM47" s="5">
        <v>511.9976806640625</v>
      </c>
      <c r="AN47" s="5">
        <v>-48.999271392822266</v>
      </c>
    </row>
    <row r="48" spans="2:40">
      <c r="B48" s="20">
        <v>46068</v>
      </c>
      <c r="C48" s="13">
        <v>46069</v>
      </c>
      <c r="D48" s="6">
        <v>213.16201782226563</v>
      </c>
      <c r="E48" s="6">
        <v>517.1982421875</v>
      </c>
      <c r="F48" s="7">
        <v>404525.6875</v>
      </c>
      <c r="G48" s="7">
        <v>139644.390625</v>
      </c>
      <c r="H48" s="6">
        <v>45.000213623046875</v>
      </c>
      <c r="I48" s="6">
        <v>52.619560241699219</v>
      </c>
      <c r="J48" s="6">
        <v>52933.4296875</v>
      </c>
      <c r="K48" s="6">
        <v>150182.71875</v>
      </c>
      <c r="L48" s="6">
        <v>1307.350341796875</v>
      </c>
      <c r="M48" s="6">
        <v>1385.947021484375</v>
      </c>
      <c r="N48" s="8">
        <v>0.54244076054368107</v>
      </c>
      <c r="O48" s="8">
        <v>0.54244453040009166</v>
      </c>
      <c r="P48" s="8">
        <v>0.54244354793339655</v>
      </c>
      <c r="Q48" s="8">
        <v>244.1007553544631</v>
      </c>
      <c r="R48" s="8">
        <v>285.43140948202415</v>
      </c>
      <c r="S48" s="4">
        <v>273.36869726432047</v>
      </c>
      <c r="T48" s="5">
        <v>202759.53125</v>
      </c>
      <c r="U48" s="5">
        <v>0</v>
      </c>
      <c r="V48" s="5">
        <v>0</v>
      </c>
      <c r="W48" s="5" t="s">
        <v>51</v>
      </c>
      <c r="X48" s="7">
        <v>203116.1484375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1072</v>
      </c>
      <c r="AG48" s="9">
        <v>830</v>
      </c>
      <c r="AH48" s="4">
        <v>252143</v>
      </c>
      <c r="AI48" s="9">
        <v>0</v>
      </c>
      <c r="AJ48" s="9">
        <v>0</v>
      </c>
      <c r="AK48" s="4">
        <f t="shared" si="0"/>
        <v>252143</v>
      </c>
      <c r="AL48" s="5">
        <v>202759.53125</v>
      </c>
      <c r="AM48" s="5">
        <v>310.99990844726563</v>
      </c>
      <c r="AN48" s="5">
        <v>13.999166488647461</v>
      </c>
    </row>
    <row r="49" spans="2:40">
      <c r="B49" s="20">
        <v>46069</v>
      </c>
      <c r="C49" s="13">
        <v>46070</v>
      </c>
      <c r="D49" s="6">
        <v>201.68836975097656</v>
      </c>
      <c r="E49" s="6">
        <v>600.99737548828125</v>
      </c>
      <c r="F49" s="7">
        <v>405533.65625</v>
      </c>
      <c r="G49" s="7">
        <v>143093.4375</v>
      </c>
      <c r="H49" s="6">
        <v>45.309711456298828</v>
      </c>
      <c r="I49" s="6">
        <v>51.990287780761719</v>
      </c>
      <c r="J49" s="6">
        <v>56431.8359375</v>
      </c>
      <c r="K49" s="6">
        <v>192949.046875</v>
      </c>
      <c r="L49" s="6">
        <v>1235.9833984375</v>
      </c>
      <c r="M49" s="6">
        <v>763.08648681640625</v>
      </c>
      <c r="N49" s="8">
        <v>0.62855140634306583</v>
      </c>
      <c r="O49" s="8">
        <v>0.6285538217323664</v>
      </c>
      <c r="P49" s="8">
        <v>0.62855327516346149</v>
      </c>
      <c r="Q49" s="8">
        <v>284.79567532568041</v>
      </c>
      <c r="R49" s="8">
        <v>326.7866566128867</v>
      </c>
      <c r="S49" s="4">
        <v>316.23571234822185</v>
      </c>
      <c r="T49" s="5">
        <v>249131.09375</v>
      </c>
      <c r="U49" s="5">
        <v>0</v>
      </c>
      <c r="V49" s="5">
        <v>0</v>
      </c>
      <c r="W49" s="5" t="s">
        <v>51</v>
      </c>
      <c r="X49" s="7">
        <v>249380.8828125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1072</v>
      </c>
      <c r="AG49" s="9">
        <v>830</v>
      </c>
      <c r="AH49" s="4">
        <v>252143</v>
      </c>
      <c r="AI49" s="9">
        <v>0</v>
      </c>
      <c r="AJ49" s="9">
        <v>0</v>
      </c>
      <c r="AK49" s="4">
        <f t="shared" si="0"/>
        <v>252143</v>
      </c>
      <c r="AL49" s="5">
        <v>249131.09375</v>
      </c>
      <c r="AM49" s="5">
        <v>301.99908447265625</v>
      </c>
      <c r="AN49" s="5">
        <v>-57.998043060302734</v>
      </c>
    </row>
    <row r="50" spans="2:40">
      <c r="B50" s="20">
        <v>46070</v>
      </c>
      <c r="C50" s="13">
        <v>46071</v>
      </c>
      <c r="D50" s="6">
        <v>213.75</v>
      </c>
      <c r="E50" s="6">
        <v>597.17999267578125</v>
      </c>
      <c r="F50" s="7">
        <v>407936</v>
      </c>
      <c r="G50" s="7">
        <v>150926</v>
      </c>
      <c r="H50" s="6">
        <v>44.889999389648438</v>
      </c>
      <c r="I50" s="6">
        <v>52.400001525878906</v>
      </c>
      <c r="J50" s="6">
        <v>60511</v>
      </c>
      <c r="K50" s="6">
        <v>197339</v>
      </c>
      <c r="L50" s="6">
        <v>1499.9000244140625</v>
      </c>
      <c r="M50" s="6">
        <v>1031.3699951171875</v>
      </c>
      <c r="N50" s="8">
        <v>0.65567261472587668</v>
      </c>
      <c r="O50" s="8">
        <v>0.65566291034082325</v>
      </c>
      <c r="P50" s="8">
        <v>0.65566518771035354</v>
      </c>
      <c r="Q50" s="8">
        <v>294.32809876131495</v>
      </c>
      <c r="R50" s="8">
        <v>343.56856836488203</v>
      </c>
      <c r="S50" s="4">
        <v>330.58945737771387</v>
      </c>
      <c r="T50" s="5">
        <v>257516</v>
      </c>
      <c r="U50" s="5">
        <v>0</v>
      </c>
      <c r="V50" s="5">
        <v>0</v>
      </c>
      <c r="W50" s="5" t="s">
        <v>51</v>
      </c>
      <c r="X50" s="7"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1072</v>
      </c>
      <c r="AG50" s="9">
        <v>830</v>
      </c>
      <c r="AH50" s="4">
        <v>252143</v>
      </c>
      <c r="AI50" s="9">
        <v>0</v>
      </c>
      <c r="AJ50" s="9">
        <v>0</v>
      </c>
      <c r="AK50" s="4">
        <f t="shared" si="0"/>
        <v>252143</v>
      </c>
      <c r="AL50" s="5">
        <v>257516</v>
      </c>
      <c r="AM50" s="5">
        <v>223</v>
      </c>
      <c r="AN50" s="5">
        <v>111</v>
      </c>
    </row>
    <row r="51" spans="2:40">
      <c r="B51" s="20">
        <v>46071</v>
      </c>
      <c r="C51" s="13">
        <v>46072</v>
      </c>
      <c r="D51" s="6">
        <v>203.75999450683594</v>
      </c>
      <c r="E51" s="6">
        <v>529.8800048828125</v>
      </c>
      <c r="F51" s="7">
        <v>403484</v>
      </c>
      <c r="G51" s="7">
        <v>137525</v>
      </c>
      <c r="H51" s="6">
        <v>45.319999694824219</v>
      </c>
      <c r="I51" s="6">
        <v>52.459999084472656</v>
      </c>
      <c r="J51" s="6">
        <v>63404</v>
      </c>
      <c r="K51" s="6">
        <v>190859</v>
      </c>
      <c r="L51" s="6">
        <v>1536.300048828125</v>
      </c>
      <c r="M51" s="6">
        <v>1607.1300048828125</v>
      </c>
      <c r="N51" s="8">
        <v>0.63839536469728164</v>
      </c>
      <c r="O51" s="8">
        <v>0.63839543418917488</v>
      </c>
      <c r="P51" s="8">
        <v>0.63839541686043899</v>
      </c>
      <c r="Q51" s="8">
        <v>289.32080097292277</v>
      </c>
      <c r="R51" s="8">
        <v>334.90222984030169</v>
      </c>
      <c r="S51" s="4">
        <v>322.24251703380571</v>
      </c>
      <c r="T51" s="5">
        <v>257516</v>
      </c>
      <c r="U51" s="5">
        <v>0</v>
      </c>
      <c r="V51" s="5">
        <v>0</v>
      </c>
      <c r="W51" s="5" t="s">
        <v>51</v>
      </c>
      <c r="X51" s="7">
        <v>254263</v>
      </c>
      <c r="Y51" s="4">
        <v>0.61699999999999999</v>
      </c>
      <c r="Z51" s="9">
        <v>0.624</v>
      </c>
      <c r="AA51" s="9">
        <v>0.62</v>
      </c>
      <c r="AB51" s="9">
        <v>264.32</v>
      </c>
      <c r="AC51" s="9">
        <v>323.33999999999997</v>
      </c>
      <c r="AD51" s="4">
        <v>44.27</v>
      </c>
      <c r="AE51" s="4">
        <v>52.51</v>
      </c>
      <c r="AF51" s="9">
        <v>1072</v>
      </c>
      <c r="AG51" s="9">
        <v>830</v>
      </c>
      <c r="AH51" s="4">
        <v>252143</v>
      </c>
      <c r="AI51" s="9">
        <v>0</v>
      </c>
      <c r="AJ51" s="9">
        <v>0</v>
      </c>
      <c r="AK51" s="4">
        <f t="shared" si="0"/>
        <v>252143</v>
      </c>
      <c r="AL51" s="5">
        <v>257516</v>
      </c>
      <c r="AM51" s="5">
        <v>223</v>
      </c>
      <c r="AN51" s="5">
        <v>111</v>
      </c>
    </row>
    <row r="52" spans="2:40">
      <c r="B52" s="20">
        <v>46072</v>
      </c>
      <c r="C52" s="13">
        <v>46073</v>
      </c>
      <c r="D52" s="6">
        <v>212.86000061035156</v>
      </c>
      <c r="E52" s="6">
        <v>549.45001220703125</v>
      </c>
      <c r="F52" s="7">
        <v>400394</v>
      </c>
      <c r="G52" s="7">
        <v>128267</v>
      </c>
      <c r="H52" s="6">
        <v>45.159999847412109</v>
      </c>
      <c r="I52" s="6">
        <v>52.419998168945313</v>
      </c>
      <c r="J52" s="6">
        <v>63311</v>
      </c>
      <c r="K52" s="6">
        <v>189697</v>
      </c>
      <c r="L52" s="6">
        <v>974.4000244140625</v>
      </c>
      <c r="M52" s="6">
        <v>1795.780029296875</v>
      </c>
      <c r="N52" s="8">
        <v>0.62646955781761982</v>
      </c>
      <c r="O52" s="8">
        <v>0.62647713196195987</v>
      </c>
      <c r="P52" s="8">
        <v>0.62647523664624072</v>
      </c>
      <c r="Q52" s="8">
        <v>282.91621591351696</v>
      </c>
      <c r="R52" s="8">
        <v>328.39830757885522</v>
      </c>
      <c r="S52" s="4">
        <v>315.69833263839331</v>
      </c>
      <c r="T52" s="5">
        <v>253380</v>
      </c>
      <c r="U52" s="5">
        <v>0</v>
      </c>
      <c r="V52" s="5">
        <v>0</v>
      </c>
      <c r="W52" s="5" t="s">
        <v>51</v>
      </c>
      <c r="X52" s="7">
        <v>253008</v>
      </c>
      <c r="Y52" s="4">
        <v>0.61699999999999999</v>
      </c>
      <c r="Z52" s="9">
        <v>0.624</v>
      </c>
      <c r="AA52" s="9">
        <v>0.62</v>
      </c>
      <c r="AB52" s="9">
        <v>264.32</v>
      </c>
      <c r="AC52" s="9">
        <v>323.33999999999997</v>
      </c>
      <c r="AD52" s="4">
        <v>44.27</v>
      </c>
      <c r="AE52" s="4">
        <v>52.51</v>
      </c>
      <c r="AF52" s="9">
        <v>1072</v>
      </c>
      <c r="AG52" s="9">
        <v>830</v>
      </c>
      <c r="AH52" s="4">
        <v>252143</v>
      </c>
      <c r="AI52" s="9">
        <v>0</v>
      </c>
      <c r="AJ52" s="9">
        <v>0</v>
      </c>
      <c r="AK52" s="4">
        <f t="shared" si="0"/>
        <v>252143</v>
      </c>
      <c r="AL52" s="5">
        <v>253380</v>
      </c>
      <c r="AM52" s="5">
        <v>-228</v>
      </c>
      <c r="AN52" s="5">
        <v>-144</v>
      </c>
    </row>
    <row r="53" spans="2:40">
      <c r="B53" s="20">
        <v>46073</v>
      </c>
      <c r="C53" s="13">
        <v>46074</v>
      </c>
      <c r="D53" s="6">
        <v>213.03999328613281</v>
      </c>
      <c r="E53" s="6">
        <v>606.719970703125</v>
      </c>
      <c r="F53" s="7">
        <v>401570</v>
      </c>
      <c r="G53" s="7">
        <v>132173</v>
      </c>
      <c r="H53" s="6">
        <v>45.659999847412109</v>
      </c>
      <c r="I53" s="6">
        <v>53.229999542236328</v>
      </c>
      <c r="J53" s="6">
        <v>59001</v>
      </c>
      <c r="K53" s="6">
        <v>195887</v>
      </c>
      <c r="L53" s="6">
        <v>1341.300048828125</v>
      </c>
      <c r="M53" s="6">
        <v>1361.9300537109375</v>
      </c>
      <c r="N53" s="8">
        <v>0.6186335763411146</v>
      </c>
      <c r="O53" s="8">
        <v>0.61863646467483457</v>
      </c>
      <c r="P53" s="8">
        <v>0.61863579609045205</v>
      </c>
      <c r="Q53" s="8">
        <v>282.46910355093712</v>
      </c>
      <c r="R53" s="8">
        <v>329.29983142705771</v>
      </c>
      <c r="S53" s="4">
        <v>317.12941765890713</v>
      </c>
      <c r="T53" s="5">
        <v>253380</v>
      </c>
      <c r="U53" s="5">
        <v>0</v>
      </c>
      <c r="V53" s="5">
        <v>0</v>
      </c>
      <c r="W53" s="5" t="s">
        <v>51</v>
      </c>
      <c r="X53" s="7">
        <v>254888</v>
      </c>
      <c r="Y53" s="4">
        <v>0.61699999999999999</v>
      </c>
      <c r="Z53" s="9">
        <v>0.624</v>
      </c>
      <c r="AA53" s="9">
        <v>0.62</v>
      </c>
      <c r="AB53" s="9">
        <v>264.32</v>
      </c>
      <c r="AC53" s="9">
        <v>323.33999999999997</v>
      </c>
      <c r="AD53" s="4">
        <v>44.27</v>
      </c>
      <c r="AE53" s="4">
        <v>52.51</v>
      </c>
      <c r="AF53" s="9">
        <v>1072</v>
      </c>
      <c r="AG53" s="9">
        <v>830</v>
      </c>
      <c r="AH53" s="4">
        <v>252143</v>
      </c>
      <c r="AI53" s="9">
        <v>0</v>
      </c>
      <c r="AJ53" s="9">
        <v>0</v>
      </c>
      <c r="AK53" s="4">
        <f t="shared" si="0"/>
        <v>252143</v>
      </c>
      <c r="AL53" s="5">
        <v>253380</v>
      </c>
      <c r="AM53" s="5">
        <v>-228</v>
      </c>
      <c r="AN53" s="5">
        <v>-144</v>
      </c>
    </row>
    <row r="54" spans="2:40">
      <c r="B54" s="20">
        <v>46074</v>
      </c>
      <c r="C54" s="13">
        <v>46075</v>
      </c>
      <c r="D54" s="6">
        <v>202.46723937988281</v>
      </c>
      <c r="E54" s="6">
        <v>612.60107421875</v>
      </c>
      <c r="F54" s="7">
        <v>402418.75</v>
      </c>
      <c r="G54" s="7">
        <v>135138.421875</v>
      </c>
      <c r="H54" s="6">
        <v>45.630058288574219</v>
      </c>
      <c r="I54" s="6">
        <v>52.749553680419922</v>
      </c>
      <c r="J54" s="6">
        <v>57297.37890625</v>
      </c>
      <c r="K54" s="6">
        <v>200411.234375</v>
      </c>
      <c r="L54" s="6">
        <v>1504.0687255859375</v>
      </c>
      <c r="M54" s="6">
        <v>1568.1141357421875</v>
      </c>
      <c r="N54" s="8">
        <v>0.62938301982522504</v>
      </c>
      <c r="O54" s="8">
        <v>0.62936785764339598</v>
      </c>
      <c r="P54" s="8">
        <v>0.62937122869063344</v>
      </c>
      <c r="Q54" s="8">
        <v>287.18245850305181</v>
      </c>
      <c r="R54" s="8">
        <v>331.99051412728409</v>
      </c>
      <c r="S54" s="4">
        <v>320.8599583531751</v>
      </c>
      <c r="T54" s="5">
        <v>254907</v>
      </c>
      <c r="U54" s="5">
        <v>0</v>
      </c>
      <c r="V54" s="5">
        <v>0</v>
      </c>
      <c r="W54" s="5" t="s">
        <v>51</v>
      </c>
      <c r="X54" s="7">
        <v>257708.61328125</v>
      </c>
      <c r="Y54" s="4">
        <v>0.61699999999999999</v>
      </c>
      <c r="Z54" s="9">
        <v>0.624</v>
      </c>
      <c r="AA54" s="9">
        <v>0.62</v>
      </c>
      <c r="AB54" s="9">
        <v>264.32</v>
      </c>
      <c r="AC54" s="9">
        <v>323.33999999999997</v>
      </c>
      <c r="AD54" s="4">
        <v>44.27</v>
      </c>
      <c r="AE54" s="4">
        <v>52.51</v>
      </c>
      <c r="AF54" s="9">
        <v>1072</v>
      </c>
      <c r="AG54" s="9">
        <v>830</v>
      </c>
      <c r="AH54" s="4">
        <v>252143</v>
      </c>
      <c r="AI54" s="9">
        <v>0</v>
      </c>
      <c r="AJ54" s="9">
        <v>0</v>
      </c>
      <c r="AK54" s="4">
        <f t="shared" si="0"/>
        <v>252143</v>
      </c>
      <c r="AL54" s="5">
        <v>254907</v>
      </c>
      <c r="AM54" s="5">
        <v>74</v>
      </c>
      <c r="AN54" s="5">
        <v>-93</v>
      </c>
    </row>
    <row r="55" spans="2:40">
      <c r="B55" s="20">
        <v>46075</v>
      </c>
      <c r="C55" s="13">
        <v>46076</v>
      </c>
      <c r="D55" s="6">
        <v>212.8800048828125</v>
      </c>
      <c r="E55" s="6">
        <v>614.21002197265625</v>
      </c>
      <c r="F55" s="7">
        <v>403477</v>
      </c>
      <c r="G55" s="7">
        <v>138621</v>
      </c>
      <c r="H55" s="6">
        <v>45.709999084472656</v>
      </c>
      <c r="I55" s="6">
        <v>52.110000610351563</v>
      </c>
      <c r="J55" s="6">
        <v>59284</v>
      </c>
      <c r="K55" s="6">
        <v>194998</v>
      </c>
      <c r="L55" s="6">
        <v>1603</v>
      </c>
      <c r="M55" s="6">
        <v>1991.47998046875</v>
      </c>
      <c r="N55" s="8">
        <v>0.62011953930321584</v>
      </c>
      <c r="O55" s="8">
        <v>0.62012614156858725</v>
      </c>
      <c r="P55" s="8">
        <v>0.62012460229632449</v>
      </c>
      <c r="Q55" s="8">
        <v>283.45895003223961</v>
      </c>
      <c r="R55" s="8">
        <v>323.14693404155491</v>
      </c>
      <c r="S55" s="4">
        <v>312.93186922954936</v>
      </c>
      <c r="T55" s="5">
        <v>257823</v>
      </c>
      <c r="U55" s="5">
        <v>0</v>
      </c>
      <c r="V55" s="5">
        <v>0</v>
      </c>
      <c r="W55" s="5" t="s">
        <v>51</v>
      </c>
      <c r="X55" s="7">
        <v>254282</v>
      </c>
      <c r="Y55" s="4">
        <v>0.61699999999999999</v>
      </c>
      <c r="Z55" s="9">
        <v>0.624</v>
      </c>
      <c r="AA55" s="9">
        <v>0.62</v>
      </c>
      <c r="AB55" s="9">
        <v>264.32</v>
      </c>
      <c r="AC55" s="9">
        <v>323.33999999999997</v>
      </c>
      <c r="AD55" s="4">
        <v>44.27</v>
      </c>
      <c r="AE55" s="4">
        <v>52.51</v>
      </c>
      <c r="AF55" s="9">
        <v>1072</v>
      </c>
      <c r="AG55" s="9">
        <v>830</v>
      </c>
      <c r="AH55" s="4">
        <v>252143</v>
      </c>
      <c r="AI55" s="9">
        <v>0</v>
      </c>
      <c r="AJ55" s="9">
        <v>0</v>
      </c>
      <c r="AK55" s="4">
        <f t="shared" si="0"/>
        <v>252143</v>
      </c>
      <c r="AL55" s="5">
        <v>257823</v>
      </c>
      <c r="AM55" s="5">
        <v>-237</v>
      </c>
      <c r="AN55" s="5">
        <v>125</v>
      </c>
    </row>
    <row r="56" spans="2:40">
      <c r="B56" s="20">
        <v>46076</v>
      </c>
      <c r="C56" s="13">
        <v>46077</v>
      </c>
      <c r="D56" s="6">
        <f>_xll.PIArcVal(Sheet1!$A$1,Sheet1!C56,0,"","auto")</f>
        <v>203.47999572753906</v>
      </c>
      <c r="E56" s="6">
        <f>_xll.PIArcVal(Sheet1!$A$2,Sheet1!C56,0,"","auto")</f>
        <v>621.25</v>
      </c>
      <c r="F56" s="7">
        <f>_xll.PIArcVal(Sheet1!$A$3,Sheet1!C56,0,"","auto")</f>
        <v>403956</v>
      </c>
      <c r="G56" s="7">
        <f>_xll.PIArcVal(Sheet1!$A$4,Sheet1!C56,0,"","auto")</f>
        <v>140305</v>
      </c>
      <c r="H56" s="6">
        <f>_xll.PIArcVal(Sheet1!$A$5,Sheet1!C56,0,"","auto")</f>
        <v>45.229999542236328</v>
      </c>
      <c r="I56" s="6">
        <f>_xll.PIArcVal(Sheet1!$A$6,Sheet1!C56,0,"","auto")</f>
        <v>52.130001068115234</v>
      </c>
      <c r="J56" s="6">
        <f>_xll.PIArcVal(Sheet1!$A$7,Sheet1!C56,0,"","auto")</f>
        <v>57052</v>
      </c>
      <c r="K56" s="6">
        <f>_xll.PIArcVal(Sheet1!$A$8,Sheet1!C56,0,"","auto")</f>
        <v>200759</v>
      </c>
      <c r="L56" s="6">
        <f>_xll.PIArcVal(Sheet1!$A$9,Sheet1!C56,0,"","auto")</f>
        <v>1432.4000244140625</v>
      </c>
      <c r="M56" s="6">
        <f>_xll.PIArcVal(Sheet1!$A$10,Sheet1!C56,0,"","auto")</f>
        <v>1232.3199462890625</v>
      </c>
      <c r="N56" s="8">
        <f t="shared" ref="N56" si="1">(J56+F56-F55)/(D56*H56/100)/1000</f>
        <v>0.6251059313928754</v>
      </c>
      <c r="O56" s="8">
        <f t="shared" ref="O56" si="2">(K56+G56-G55)/(E56*I56/100)/1000</f>
        <v>0.62509874779713326</v>
      </c>
      <c r="P56" s="8">
        <f t="shared" ref="P56" si="3">((J56+K56)+F56+G56-F55-G55)/(D56*H56/100+E56*I56/100)/1000</f>
        <v>0.62510033747821026</v>
      </c>
      <c r="Q56" s="8">
        <f t="shared" ref="Q56" si="4">P56*H56*10</f>
        <v>282.73287977991225</v>
      </c>
      <c r="R56" s="8">
        <f t="shared" ref="R56" si="5">P56*I56*10</f>
        <v>325.86481260418293</v>
      </c>
      <c r="S56" s="4">
        <f t="shared" ref="S56" si="6">((J56+K56)+F56+G56-F55-G55)/(D56+E56)</f>
        <v>315.2231655775571</v>
      </c>
      <c r="T56" s="5">
        <f t="shared" ref="T56" si="7">IF(AL56&lt;3000,0,AL56)</f>
        <v>257769</v>
      </c>
      <c r="U56" s="5">
        <f t="shared" ref="U56" si="8">IF(AM56&lt;3000,0,AM56)</f>
        <v>0</v>
      </c>
      <c r="V56" s="5">
        <f t="shared" ref="V56" si="9">IF(AN56&lt;3000,0,AN56)</f>
        <v>0</v>
      </c>
      <c r="W56" s="5" t="s">
        <v>51</v>
      </c>
      <c r="X56" s="7">
        <f t="shared" ref="X56" si="10">J56+K56</f>
        <v>257811</v>
      </c>
      <c r="Y56" s="4">
        <v>0.61699999999999999</v>
      </c>
      <c r="Z56" s="9">
        <v>0.624</v>
      </c>
      <c r="AA56" s="9">
        <v>0.62</v>
      </c>
      <c r="AB56" s="9">
        <v>264.32</v>
      </c>
      <c r="AC56" s="9">
        <v>323.33999999999997</v>
      </c>
      <c r="AD56" s="4">
        <v>44.27</v>
      </c>
      <c r="AE56" s="4">
        <v>52.51</v>
      </c>
      <c r="AF56" s="9">
        <v>1072</v>
      </c>
      <c r="AG56" s="9">
        <v>830</v>
      </c>
      <c r="AH56" s="4">
        <v>252143</v>
      </c>
      <c r="AI56" s="9">
        <v>0</v>
      </c>
      <c r="AJ56" s="9">
        <v>0</v>
      </c>
      <c r="AK56" s="4">
        <f t="shared" si="0"/>
        <v>252143</v>
      </c>
      <c r="AL56" s="5">
        <f>_xll.PIArcVal(Sheet1!$A$11,Sheet1!C56,0,"","auto")</f>
        <v>257769</v>
      </c>
      <c r="AM56" s="5">
        <f>_xll.PIArcVal(Sheet1!$A$12,Sheet1!C56,0,"","auto")</f>
        <v>65</v>
      </c>
      <c r="AN56" s="5">
        <f>_xll.PIArcVal(Sheet1!$A$13,Sheet1!C56,0,"","auto")</f>
        <v>-23</v>
      </c>
    </row>
    <row r="57" spans="2:40">
      <c r="B57" s="20">
        <v>46077</v>
      </c>
      <c r="C57" s="13">
        <v>46078</v>
      </c>
      <c r="D57" s="6">
        <f>_xll.PIArcVal(Sheet1!$A$1,Sheet1!C57,0,"","auto")</f>
        <v>212.36000061035156</v>
      </c>
      <c r="E57" s="6">
        <f>_xll.PIArcVal(Sheet1!$A$2,Sheet1!C57,0,"","auto")</f>
        <v>622.54998779296875</v>
      </c>
      <c r="F57" s="7">
        <f>_xll.PIArcVal(Sheet1!$A$3,Sheet1!C57,0,"","auto")</f>
        <v>406996</v>
      </c>
      <c r="G57" s="7">
        <f>_xll.PIArcVal(Sheet1!$A$4,Sheet1!C57,0,"","auto")</f>
        <v>150504</v>
      </c>
      <c r="H57" s="6">
        <f>_xll.PIArcVal(Sheet1!$A$5,Sheet1!C57,0,"","auto")</f>
        <v>45.259998321533203</v>
      </c>
      <c r="I57" s="6">
        <f>_xll.PIArcVal(Sheet1!$A$6,Sheet1!C57,0,"","auto")</f>
        <v>51.790000915527344</v>
      </c>
      <c r="J57" s="6">
        <f>_xll.PIArcVal(Sheet1!$A$7,Sheet1!C57,0,"","auto")</f>
        <v>59800</v>
      </c>
      <c r="K57" s="6">
        <f>_xll.PIArcVal(Sheet1!$A$8,Sheet1!C57,0,"","auto")</f>
        <v>200600</v>
      </c>
      <c r="L57" s="6">
        <f>_xll.PIArcVal(Sheet1!$A$9,Sheet1!C57,0,"","auto")</f>
        <v>1475.5</v>
      </c>
      <c r="M57" s="6">
        <f>_xll.PIArcVal(Sheet1!$A$10,Sheet1!C57,0,"","auto")</f>
        <v>2343.780029296875</v>
      </c>
      <c r="N57" s="8">
        <f t="shared" ref="N57" si="11">(J57+F57-F56)/(D57*H57/100)/1000</f>
        <v>0.65380603483560773</v>
      </c>
      <c r="O57" s="8">
        <f t="shared" ref="O57" si="12">(K57+G57-G56)/(E57*I57/100)/1000</f>
        <v>0.65380524258121742</v>
      </c>
      <c r="P57" s="8">
        <f t="shared" ref="P57" si="13">((J57+K57)+F57+G57-F56-G56)/(D57*H57/100+E57*I57/100)/1000</f>
        <v>0.65380542451880452</v>
      </c>
      <c r="Q57" s="8">
        <f t="shared" ref="Q57" si="14">P57*H57*10</f>
        <v>295.91232416330394</v>
      </c>
      <c r="R57" s="8">
        <f t="shared" ref="R57" si="15">P57*I57*10</f>
        <v>338.60583534405629</v>
      </c>
      <c r="S57" s="4">
        <f t="shared" ref="S57" si="16">((J57+K57)+F57+G57-F56-G56)/(D57+E57)</f>
        <v>327.74670778979004</v>
      </c>
      <c r="T57" s="5">
        <f t="shared" ref="T57" si="17">IF(AL57&lt;3000,0,AL57)</f>
        <v>257769</v>
      </c>
      <c r="U57" s="5">
        <f t="shared" ref="U57" si="18">IF(AM57&lt;3000,0,AM57)</f>
        <v>0</v>
      </c>
      <c r="V57" s="5">
        <f t="shared" ref="V57" si="19">IF(AN57&lt;3000,0,AN57)</f>
        <v>0</v>
      </c>
      <c r="W57" s="5" t="s">
        <v>51</v>
      </c>
      <c r="X57" s="7">
        <f t="shared" ref="X57" si="20">J57+K57</f>
        <v>260400</v>
      </c>
      <c r="Y57" s="4">
        <v>0.61699999999999999</v>
      </c>
      <c r="Z57" s="9">
        <v>0.624</v>
      </c>
      <c r="AA57" s="9">
        <v>0.62</v>
      </c>
      <c r="AB57" s="9">
        <v>264.32</v>
      </c>
      <c r="AC57" s="9">
        <v>323.33999999999997</v>
      </c>
      <c r="AD57" s="4">
        <v>44.27</v>
      </c>
      <c r="AE57" s="4">
        <v>52.51</v>
      </c>
      <c r="AF57" s="9">
        <v>1072</v>
      </c>
      <c r="AG57" s="9">
        <v>830</v>
      </c>
      <c r="AH57" s="4">
        <v>252143</v>
      </c>
      <c r="AI57" s="9">
        <v>0</v>
      </c>
      <c r="AJ57" s="9">
        <v>0</v>
      </c>
      <c r="AK57" s="4">
        <f t="shared" si="0"/>
        <v>252143</v>
      </c>
      <c r="AL57" s="5">
        <f>_xll.PIArcVal(Sheet1!$A$11,Sheet1!C57,0,"","auto")</f>
        <v>257769</v>
      </c>
      <c r="AM57" s="5">
        <f>_xll.PIArcVal(Sheet1!$A$12,Sheet1!C57,0,"","auto")</f>
        <v>65</v>
      </c>
      <c r="AN57" s="5">
        <f>_xll.PIArcVal(Sheet1!$A$13,Sheet1!C57,0,"","auto")</f>
        <v>-23</v>
      </c>
    </row>
    <row r="58" spans="2:40">
      <c r="B58" s="20">
        <v>46078</v>
      </c>
      <c r="C58" s="13">
        <v>46079</v>
      </c>
      <c r="D58" s="6">
        <f>_xll.PIArcVal(Sheet1!$A$1,Sheet1!C58,0,"","auto")</f>
        <v>212.77999877929688</v>
      </c>
      <c r="E58" s="6">
        <f>_xll.PIArcVal(Sheet1!$A$2,Sheet1!C58,0,"","auto")</f>
        <v>584.28997802734375</v>
      </c>
      <c r="F58" s="7">
        <f>_xll.PIArcVal(Sheet1!$A$3,Sheet1!C58,0,"","auto")</f>
        <v>404172</v>
      </c>
      <c r="G58" s="7">
        <f>_xll.PIArcVal(Sheet1!$A$4,Sheet1!C58,0,"","auto")</f>
        <v>141657</v>
      </c>
      <c r="H58" s="6">
        <f>_xll.PIArcVal(Sheet1!$A$5,Sheet1!C58,0,"","auto")</f>
        <v>45.080001831054688</v>
      </c>
      <c r="I58" s="6">
        <f>_xll.PIArcVal(Sheet1!$A$6,Sheet1!C58,0,"","auto")</f>
        <v>51.419998168945313</v>
      </c>
      <c r="J58" s="6">
        <f>_xll.PIArcVal(Sheet1!$A$7,Sheet1!C58,0,"","auto")</f>
        <v>64037</v>
      </c>
      <c r="K58" s="6">
        <f>_xll.PIArcVal(Sheet1!$A$8,Sheet1!C58,0,"","auto")</f>
        <v>200575</v>
      </c>
      <c r="L58" s="6">
        <f>_xll.PIArcVal(Sheet1!$A$9,Sheet1!C58,0,"","auto")</f>
        <v>1418.300048828125</v>
      </c>
      <c r="M58" s="6">
        <f>_xll.PIArcVal(Sheet1!$A$10,Sheet1!C58,0,"","auto")</f>
        <v>2072.97998046875</v>
      </c>
      <c r="N58" s="8">
        <f t="shared" ref="N58" si="21">(J58+F58-F57)/(D58*H58/100)/1000</f>
        <v>0.63815905711160814</v>
      </c>
      <c r="O58" s="8">
        <f t="shared" ref="O58" si="22">(K58+G58-G57)/(E58*I58/100)/1000</f>
        <v>0.63815334196297047</v>
      </c>
      <c r="P58" s="8">
        <f t="shared" ref="P58" si="23">((J58+K58)+F58+G58-F57-G57)/(D58*H58/100+E58*I58/100)/1000</f>
        <v>0.63815472504842796</v>
      </c>
      <c r="Q58" s="8">
        <f t="shared" ref="Q58" si="24">P58*H58*10</f>
        <v>287.68016173679331</v>
      </c>
      <c r="R58" s="8">
        <f t="shared" ref="R58" si="25">P58*I58*10</f>
        <v>328.13914793493961</v>
      </c>
      <c r="S58" s="4">
        <f t="shared" ref="S58" si="26">((J58+K58)+F58+G58-F57-G57)/(D58+E58)</f>
        <v>317.3385114985461</v>
      </c>
      <c r="T58" s="5">
        <f t="shared" ref="T58" si="27">IF(AL58&lt;3000,0,AL58)</f>
        <v>260673</v>
      </c>
      <c r="U58" s="5">
        <f t="shared" ref="U58" si="28">IF(AM58&lt;3000,0,AM58)</f>
        <v>0</v>
      </c>
      <c r="V58" s="5">
        <f t="shared" ref="V58" si="29">IF(AN58&lt;3000,0,AN58)</f>
        <v>0</v>
      </c>
      <c r="W58" s="5" t="s">
        <v>51</v>
      </c>
      <c r="X58" s="7">
        <f t="shared" ref="X58" si="30">J58+K58</f>
        <v>264612</v>
      </c>
      <c r="Y58" s="4">
        <v>0.61699999999999999</v>
      </c>
      <c r="Z58" s="9">
        <v>0.624</v>
      </c>
      <c r="AA58" s="9">
        <v>0.62</v>
      </c>
      <c r="AB58" s="9">
        <v>264.32</v>
      </c>
      <c r="AC58" s="9">
        <v>323.33999999999997</v>
      </c>
      <c r="AD58" s="4">
        <v>44.27</v>
      </c>
      <c r="AE58" s="4">
        <v>52.51</v>
      </c>
      <c r="AF58" s="9">
        <v>1072</v>
      </c>
      <c r="AG58" s="9">
        <v>830</v>
      </c>
      <c r="AH58" s="4">
        <v>252143</v>
      </c>
      <c r="AI58" s="9">
        <v>0</v>
      </c>
      <c r="AJ58" s="9">
        <v>0</v>
      </c>
      <c r="AK58" s="4">
        <f t="shared" si="0"/>
        <v>252143</v>
      </c>
      <c r="AL58" s="5">
        <f>_xll.PIArcVal(Sheet1!$A$11,Sheet1!C58,0,"","auto")</f>
        <v>260673</v>
      </c>
      <c r="AM58" s="5">
        <f>_xll.PIArcVal(Sheet1!$A$12,Sheet1!C58,0,"","auto")</f>
        <v>-219</v>
      </c>
      <c r="AN58" s="5">
        <f>_xll.PIArcVal(Sheet1!$A$13,Sheet1!C58,0,"","auto")</f>
        <v>-54</v>
      </c>
    </row>
    <row r="59" spans="2:40">
      <c r="B59" s="20">
        <v>46079</v>
      </c>
      <c r="C59" s="13">
        <v>46080</v>
      </c>
      <c r="D59" s="6">
        <f>_xll.PIArcVal(Sheet1!$A$1,Sheet1!C59,0,"","auto")</f>
        <v>203.05000305175781</v>
      </c>
      <c r="E59" s="6">
        <f>_xll.PIArcVal(Sheet1!$A$2,Sheet1!C59,0,"","auto")</f>
        <v>592.6099853515625</v>
      </c>
      <c r="F59" s="7">
        <f>_xll.PIArcVal(Sheet1!$A$3,Sheet1!C59,0,"","auto")</f>
        <v>404537</v>
      </c>
      <c r="G59" s="7">
        <f>_xll.PIArcVal(Sheet1!$A$4,Sheet1!C59,0,"","auto")</f>
        <v>142870</v>
      </c>
      <c r="H59" s="6">
        <f>_xll.PIArcVal(Sheet1!$A$5,Sheet1!C59,0,"","auto")</f>
        <v>45.029998779296875</v>
      </c>
      <c r="I59" s="6">
        <f>_xll.PIArcVal(Sheet1!$A$6,Sheet1!C59,0,"","auto")</f>
        <v>51.270000457763672</v>
      </c>
      <c r="J59" s="6">
        <f>_xll.PIArcVal(Sheet1!$A$7,Sheet1!C59,0,"","auto")</f>
        <v>58715</v>
      </c>
      <c r="K59" s="6">
        <f>_xll.PIArcVal(Sheet1!$A$8,Sheet1!C59,0,"","auto")</f>
        <v>195109</v>
      </c>
      <c r="L59" s="6">
        <f>_xll.PIArcVal(Sheet1!$A$9,Sheet1!C59,0,"","auto")</f>
        <v>1481.9000244140625</v>
      </c>
      <c r="M59" s="6">
        <f>_xll.PIArcVal(Sheet1!$A$10,Sheet1!C59,0,"","auto")</f>
        <v>1844.9599609375</v>
      </c>
      <c r="N59" s="8">
        <f t="shared" ref="N59" si="31">(J59+F59-F58)/(D59*H59/100)/1000</f>
        <v>0.64615327682589385</v>
      </c>
      <c r="O59" s="8">
        <f t="shared" ref="O59" si="32">(K59+G59-G58)/(E59*I59/100)/1000</f>
        <v>0.6461549615251555</v>
      </c>
      <c r="P59" s="8">
        <f t="shared" ref="P59" si="33">((J59+K59)+F59+G59-F58-G58)/(D59*H59/100+E59*I59/100)/1000</f>
        <v>0.64615457181704095</v>
      </c>
      <c r="Q59" s="8">
        <f t="shared" ref="Q59" si="34">P59*H59*10</f>
        <v>290.96339580158451</v>
      </c>
      <c r="R59" s="8">
        <f t="shared" ref="R59" si="35">P59*I59*10</f>
        <v>331.28345192845779</v>
      </c>
      <c r="S59" s="4">
        <f t="shared" ref="S59" si="36">((J59+K59)+F59+G59-F58-G58)/(D59+E59)</f>
        <v>320.99389654181863</v>
      </c>
      <c r="T59" s="5">
        <f t="shared" ref="T59" si="37">IF(AL59&lt;3000,0,AL59)</f>
        <v>261073</v>
      </c>
      <c r="U59" s="5">
        <f t="shared" ref="U59" si="38">IF(AM59&lt;3000,0,AM59)</f>
        <v>0</v>
      </c>
      <c r="V59" s="5">
        <f t="shared" ref="V59" si="39">IF(AN59&lt;3000,0,AN59)</f>
        <v>4150</v>
      </c>
      <c r="W59" s="5" t="s">
        <v>51</v>
      </c>
      <c r="X59" s="7">
        <f t="shared" ref="X59" si="40">J59+K59</f>
        <v>253824</v>
      </c>
      <c r="Y59" s="4">
        <v>0.61699999999999999</v>
      </c>
      <c r="Z59" s="9">
        <v>0.624</v>
      </c>
      <c r="AA59" s="9">
        <v>0.62</v>
      </c>
      <c r="AB59" s="9">
        <v>264.32</v>
      </c>
      <c r="AC59" s="9">
        <v>323.33999999999997</v>
      </c>
      <c r="AD59" s="4">
        <v>44.27</v>
      </c>
      <c r="AE59" s="4">
        <v>52.51</v>
      </c>
      <c r="AF59" s="9">
        <v>1072</v>
      </c>
      <c r="AG59" s="9">
        <v>830</v>
      </c>
      <c r="AH59" s="4">
        <v>252143</v>
      </c>
      <c r="AI59" s="9">
        <v>0</v>
      </c>
      <c r="AJ59" s="9">
        <v>0</v>
      </c>
      <c r="AK59" s="4">
        <f t="shared" ref="AK59" si="41">SUM(AH59:AJ59)</f>
        <v>252143</v>
      </c>
      <c r="AL59" s="5">
        <f>_xll.PIArcVal(Sheet1!$A$11,Sheet1!C59,0,"","auto")</f>
        <v>261073</v>
      </c>
      <c r="AM59" s="5">
        <f>_xll.PIArcVal(Sheet1!$A$12,Sheet1!C59,0,"","auto")</f>
        <v>-611</v>
      </c>
      <c r="AN59" s="5">
        <f>_xll.PIArcVal(Sheet1!$A$13,Sheet1!C59,0,"","auto")</f>
        <v>4150</v>
      </c>
    </row>
    <row r="60" spans="2:40">
      <c r="B60" s="20">
        <v>46080</v>
      </c>
      <c r="C60" s="13">
        <v>46081</v>
      </c>
      <c r="D60" s="6">
        <f>_xll.PIArcVal(Sheet1!$A$1,Sheet1!C60,0,"","auto")</f>
        <v>212.24351501464844</v>
      </c>
      <c r="E60" s="6">
        <f>_xll.PIArcVal(Sheet1!$A$2,Sheet1!C60,0,"","auto")</f>
        <v>556.39813232421875</v>
      </c>
      <c r="F60" s="7">
        <f>_xll.PIArcVal(Sheet1!$A$3,Sheet1!C60,0,"","auto")</f>
        <v>402737.375</v>
      </c>
      <c r="G60" s="7">
        <f>_xll.PIArcVal(Sheet1!$A$4,Sheet1!C60,0,"","auto")</f>
        <v>137431.109375</v>
      </c>
      <c r="H60" s="6">
        <f>_xll.PIArcVal(Sheet1!$A$5,Sheet1!C60,0,"","auto")</f>
        <v>45.089576721191406</v>
      </c>
      <c r="I60" s="6">
        <f>_xll.PIArcVal(Sheet1!$A$6,Sheet1!C60,0,"","auto")</f>
        <v>52.010173797607422</v>
      </c>
      <c r="J60" s="6">
        <f>_xll.PIArcVal(Sheet1!$A$7,Sheet1!C60,0,"","auto")</f>
        <v>63181.3984375</v>
      </c>
      <c r="K60" s="6">
        <f>_xll.PIArcVal(Sheet1!$A$8,Sheet1!C60,0,"","auto")</f>
        <v>191051.296875</v>
      </c>
      <c r="L60" s="6">
        <f>_xll.PIArcVal(Sheet1!$A$9,Sheet1!C60,0,"","auto")</f>
        <v>1445.300048828125</v>
      </c>
      <c r="M60" s="6">
        <f>_xll.PIArcVal(Sheet1!$A$10,Sheet1!C60,0,"","auto")</f>
        <v>1619.1600341796875</v>
      </c>
      <c r="N60" s="8">
        <f t="shared" ref="N60:N65" si="42">(J60+F60-F59)/(D60*H60/100)/1000</f>
        <v>0.64139983520790045</v>
      </c>
      <c r="O60" s="8">
        <f t="shared" ref="O60:O65" si="43">(K60+G60-G59)/(E60*I60/100)/1000</f>
        <v>0.64140602092753762</v>
      </c>
      <c r="P60" s="8">
        <f t="shared" ref="P60:P65" si="44">((J60+K60)+F60+G60-F59-G59)/(D60*H60/100+E60*I60/100)/1000</f>
        <v>0.6414044836719085</v>
      </c>
      <c r="Q60" s="8">
        <f t="shared" ref="Q60:Q65" si="45">P60*H60*10</f>
        <v>289.20656675840678</v>
      </c>
      <c r="R60" s="8">
        <f t="shared" ref="R60:R65" si="46">P60*I60*10</f>
        <v>333.59558670340613</v>
      </c>
      <c r="S60" s="4">
        <f t="shared" ref="S60:S65" si="47">((J60+K60)+F60+G60-F59-G59)/(D60+E60)</f>
        <v>321.33853342793032</v>
      </c>
      <c r="T60" s="5">
        <f t="shared" ref="T60:T65" si="48">IF(AL60&lt;3000,0,AL60)</f>
        <v>255213.796875</v>
      </c>
      <c r="U60" s="5">
        <f t="shared" ref="U60:U65" si="49">IF(AM60&lt;3000,0,AM60)</f>
        <v>0</v>
      </c>
      <c r="V60" s="5">
        <f t="shared" ref="V60:V65" si="50">IF(AN60&lt;3000,0,AN60)</f>
        <v>0</v>
      </c>
      <c r="W60" s="5" t="s">
        <v>51</v>
      </c>
      <c r="X60" s="7">
        <f t="shared" ref="X60:X65" si="51">J60+K60</f>
        <v>254232.6953125</v>
      </c>
      <c r="Y60" s="4">
        <v>0.61699999999999999</v>
      </c>
      <c r="Z60" s="9">
        <v>0.624</v>
      </c>
      <c r="AA60" s="9">
        <v>0.62</v>
      </c>
      <c r="AB60" s="9">
        <v>264.32</v>
      </c>
      <c r="AC60" s="9">
        <v>323.33999999999997</v>
      </c>
      <c r="AD60" s="4">
        <v>44.27</v>
      </c>
      <c r="AE60" s="4">
        <v>52.51</v>
      </c>
      <c r="AF60" s="9">
        <v>1072</v>
      </c>
      <c r="AG60" s="9">
        <v>830</v>
      </c>
      <c r="AH60" s="4">
        <v>252143</v>
      </c>
      <c r="AI60" s="9">
        <v>0</v>
      </c>
      <c r="AJ60" s="9">
        <v>0</v>
      </c>
      <c r="AK60" s="4">
        <f t="shared" ref="AK60:AK65" si="52">SUM(AH60:AJ60)</f>
        <v>252143</v>
      </c>
      <c r="AL60" s="5">
        <f>_xll.PIArcVal(Sheet1!$A$11,Sheet1!C60,0,"","auto")</f>
        <v>255213.796875</v>
      </c>
      <c r="AM60" s="5">
        <f>_xll.PIArcVal(Sheet1!$A$12,Sheet1!C60,0,"","auto")</f>
        <v>-936.77105712890625</v>
      </c>
      <c r="AN60" s="5">
        <f>_xll.PIArcVal(Sheet1!$A$13,Sheet1!C60,0,"","auto")</f>
        <v>12.999432563781738</v>
      </c>
    </row>
    <row r="61" spans="2:40">
      <c r="B61" s="20">
        <v>46081</v>
      </c>
      <c r="C61" s="13">
        <v>46082</v>
      </c>
      <c r="D61" s="6">
        <f>_xll.PIArcVal(Sheet1!$A$1,Sheet1!C61,0,"","auto")</f>
        <v>202.87850952148438</v>
      </c>
      <c r="E61" s="6">
        <f>_xll.PIArcVal(Sheet1!$A$2,Sheet1!C61,0,"","auto")</f>
        <v>524.84716796875</v>
      </c>
      <c r="F61" s="7">
        <f>_xll.PIArcVal(Sheet1!$A$3,Sheet1!C61,0,"","auto")</f>
        <v>401849.71875</v>
      </c>
      <c r="G61" s="7">
        <f>_xll.PIArcVal(Sheet1!$A$4,Sheet1!C61,0,"","auto")</f>
        <v>134733.75</v>
      </c>
      <c r="H61" s="6">
        <f>_xll.PIArcVal(Sheet1!$A$5,Sheet1!C61,0,"","auto")</f>
        <v>44.480117797851563</v>
      </c>
      <c r="I61" s="6">
        <f>_xll.PIArcVal(Sheet1!$A$6,Sheet1!C61,0,"","auto")</f>
        <v>52.259498596191406</v>
      </c>
      <c r="J61" s="6">
        <f>_xll.PIArcVal(Sheet1!$A$7,Sheet1!C61,0,"","auto")</f>
        <v>42158.80859375</v>
      </c>
      <c r="K61" s="6">
        <f>_xll.PIArcVal(Sheet1!$A$8,Sheet1!C61,0,"","auto")</f>
        <v>128138.7109375</v>
      </c>
      <c r="L61" s="6">
        <f>_xll.PIArcVal(Sheet1!$A$9,Sheet1!C61,0,"","auto")</f>
        <v>1445.038818359375</v>
      </c>
      <c r="M61" s="6">
        <f>_xll.PIArcVal(Sheet1!$A$10,Sheet1!C61,0,"","auto")</f>
        <v>1618.8096923828125</v>
      </c>
      <c r="N61" s="8">
        <f t="shared" si="42"/>
        <v>0.45734572170213794</v>
      </c>
      <c r="O61" s="8">
        <f t="shared" si="43"/>
        <v>0.45734362310708726</v>
      </c>
      <c r="P61" s="8">
        <f t="shared" si="44"/>
        <v>0.45734414263102796</v>
      </c>
      <c r="Q61" s="8">
        <f t="shared" si="45"/>
        <v>203.42721338385553</v>
      </c>
      <c r="R61" s="8">
        <f t="shared" si="46"/>
        <v>239.00575579802566</v>
      </c>
      <c r="S61" s="4">
        <f t="shared" si="47"/>
        <v>229.08701597723569</v>
      </c>
      <c r="T61" s="5">
        <f t="shared" si="48"/>
        <v>65124.890625</v>
      </c>
      <c r="U61" s="5">
        <f t="shared" si="49"/>
        <v>105240.5625</v>
      </c>
      <c r="V61" s="5">
        <f t="shared" si="50"/>
        <v>0</v>
      </c>
      <c r="W61" s="5" t="s">
        <v>53</v>
      </c>
      <c r="X61" s="7">
        <f t="shared" si="51"/>
        <v>170297.51953125</v>
      </c>
      <c r="Y61" s="4">
        <v>0.61699999999999999</v>
      </c>
      <c r="Z61" s="9">
        <v>0.624</v>
      </c>
      <c r="AA61" s="9">
        <v>0.62</v>
      </c>
      <c r="AB61" s="9">
        <v>264.32</v>
      </c>
      <c r="AC61" s="9">
        <v>323.33999999999997</v>
      </c>
      <c r="AD61" s="4">
        <v>44.27</v>
      </c>
      <c r="AE61" s="4">
        <v>52.51</v>
      </c>
      <c r="AF61" s="9">
        <v>1072</v>
      </c>
      <c r="AG61" s="9">
        <v>830</v>
      </c>
      <c r="AH61" s="4">
        <v>252143</v>
      </c>
      <c r="AI61" s="9">
        <v>0</v>
      </c>
      <c r="AJ61" s="9">
        <v>0</v>
      </c>
      <c r="AK61" s="4">
        <v>100000</v>
      </c>
      <c r="AL61" s="5">
        <f>_xll.PIArcVal(Sheet1!$A$11,Sheet1!C61,0,"","auto")</f>
        <v>65124.890625</v>
      </c>
      <c r="AM61" s="5">
        <f>_xll.PIArcVal(Sheet1!$A$12,Sheet1!C61,0,"","auto")</f>
        <v>105240.5625</v>
      </c>
      <c r="AN61" s="5">
        <f>_xll.PIArcVal(Sheet1!$A$13,Sheet1!C61,0,"","auto")</f>
        <v>-35.998703002929688</v>
      </c>
    </row>
    <row r="62" spans="2:40">
      <c r="B62" s="20">
        <v>46082</v>
      </c>
      <c r="C62" s="13">
        <v>46083</v>
      </c>
      <c r="D62" s="6">
        <f>_xll.PIArcVal(Sheet1!$A$1,Sheet1!C62,0,"","auto")</f>
        <v>143.21257019042969</v>
      </c>
      <c r="E62" s="6">
        <f>_xll.PIArcVal(Sheet1!$A$2,Sheet1!C62,0,"","auto")</f>
        <v>405.64373779296875</v>
      </c>
      <c r="F62" s="7">
        <f>_xll.PIArcVal(Sheet1!$A$3,Sheet1!C62,0,"","auto")</f>
        <v>415831.125</v>
      </c>
      <c r="G62" s="7">
        <f>_xll.PIArcVal(Sheet1!$A$4,Sheet1!C62,0,"","auto")</f>
        <v>180450.515625</v>
      </c>
      <c r="H62" s="6">
        <f>_xll.PIArcVal(Sheet1!$A$5,Sheet1!C62,0,"","auto")</f>
        <v>44.650215148925781</v>
      </c>
      <c r="I62" s="6">
        <f>_xll.PIArcVal(Sheet1!$A$6,Sheet1!C62,0,"","auto")</f>
        <v>51.540210723876953</v>
      </c>
      <c r="J62" s="6">
        <f>_xll.PIArcVal(Sheet1!$A$7,Sheet1!C62,0,"","auto")</f>
        <v>28945.197265625</v>
      </c>
      <c r="K62" s="6">
        <f>_xll.PIArcVal(Sheet1!$A$8,Sheet1!C62,0,"","auto")</f>
        <v>94633.5703125</v>
      </c>
      <c r="L62" s="6">
        <f>_xll.PIArcVal(Sheet1!$A$9,Sheet1!C62,0,"","auto")</f>
        <v>1069.0787353515625</v>
      </c>
      <c r="M62" s="6">
        <f>_xll.PIArcVal(Sheet1!$A$10,Sheet1!C62,0,"","auto")</f>
        <v>1115.1427001953125</v>
      </c>
      <c r="N62" s="8">
        <f t="shared" si="42"/>
        <v>0.67130801477858737</v>
      </c>
      <c r="O62" s="8">
        <f t="shared" si="43"/>
        <v>0.67130903265443265</v>
      </c>
      <c r="P62" s="8">
        <f t="shared" si="44"/>
        <v>0.67130879425017032</v>
      </c>
      <c r="Q62" s="8">
        <f t="shared" si="45"/>
        <v>299.74082094636054</v>
      </c>
      <c r="R62" s="8">
        <f t="shared" si="46"/>
        <v>345.99396716445534</v>
      </c>
      <c r="S62" s="4">
        <f t="shared" si="47"/>
        <v>333.92517638454228</v>
      </c>
      <c r="T62" s="5">
        <f t="shared" si="48"/>
        <v>55842.078125</v>
      </c>
      <c r="U62" s="5">
        <f t="shared" si="49"/>
        <v>67640.265625</v>
      </c>
      <c r="V62" s="5">
        <f t="shared" si="50"/>
        <v>0</v>
      </c>
      <c r="W62" s="5" t="s">
        <v>53</v>
      </c>
      <c r="X62" s="7">
        <f t="shared" si="51"/>
        <v>123578.767578125</v>
      </c>
      <c r="Y62" s="4">
        <v>0.61699999999999999</v>
      </c>
      <c r="Z62" s="9">
        <v>0.624</v>
      </c>
      <c r="AA62" s="9">
        <v>0.62</v>
      </c>
      <c r="AB62" s="9">
        <v>264.32</v>
      </c>
      <c r="AC62" s="9">
        <v>323.33999999999997</v>
      </c>
      <c r="AD62" s="4">
        <v>44.27</v>
      </c>
      <c r="AE62" s="4">
        <v>52.51</v>
      </c>
      <c r="AF62" s="9">
        <v>1072</v>
      </c>
      <c r="AG62" s="9">
        <v>830</v>
      </c>
      <c r="AH62" s="4">
        <v>252143</v>
      </c>
      <c r="AI62" s="9">
        <v>0</v>
      </c>
      <c r="AJ62" s="9">
        <v>0</v>
      </c>
      <c r="AK62" s="4">
        <v>210000</v>
      </c>
      <c r="AL62" s="5">
        <f>_xll.PIArcVal(Sheet1!$A$11,Sheet1!C62,0,"","auto")</f>
        <v>55842.078125</v>
      </c>
      <c r="AM62" s="5">
        <f>_xll.PIArcVal(Sheet1!$A$12,Sheet1!C62,0,"","auto")</f>
        <v>67640.265625</v>
      </c>
      <c r="AN62" s="5">
        <f>_xll.PIArcVal(Sheet1!$A$13,Sheet1!C62,0,"","auto")</f>
        <v>76.001998901367188</v>
      </c>
    </row>
    <row r="63" spans="2:40">
      <c r="B63" s="20">
        <v>46083</v>
      </c>
      <c r="C63" s="13">
        <v>46084</v>
      </c>
      <c r="D63" s="6">
        <f>_xll.PIArcVal(Sheet1!$A$1,Sheet1!C63,0,"","auto")</f>
        <v>190.10929870605469</v>
      </c>
      <c r="E63" s="6">
        <f>_xll.PIArcVal(Sheet1!$A$2,Sheet1!C63,0,"","auto")</f>
        <v>396.69876098632813</v>
      </c>
      <c r="F63" s="7">
        <f>_xll.PIArcVal(Sheet1!$A$3,Sheet1!C63,0,"","auto")</f>
        <v>427506.09375</v>
      </c>
      <c r="G63" s="7">
        <f>_xll.PIArcVal(Sheet1!$A$4,Sheet1!C63,0,"","auto")</f>
        <v>208538.140625</v>
      </c>
      <c r="H63" s="6">
        <f>_xll.PIArcVal(Sheet1!$A$5,Sheet1!C63,0,"","auto")</f>
        <v>44.959903717041016</v>
      </c>
      <c r="I63" s="6">
        <f>_xll.PIArcVal(Sheet1!$A$6,Sheet1!C63,0,"","auto")</f>
        <v>51.839824676513672</v>
      </c>
      <c r="J63" s="6">
        <f>_xll.PIArcVal(Sheet1!$A$7,Sheet1!C63,0,"","auto")</f>
        <v>45063.12109375</v>
      </c>
      <c r="K63" s="6">
        <f>_xll.PIArcVal(Sheet1!$A$8,Sheet1!C63,0,"","auto")</f>
        <v>108421.875</v>
      </c>
      <c r="L63" s="6">
        <f>_xll.PIArcVal(Sheet1!$A$9,Sheet1!C63,0,"","auto")</f>
        <v>1038.6761474609375</v>
      </c>
      <c r="M63" s="6">
        <f>_xll.PIArcVal(Sheet1!$A$10,Sheet1!C63,0,"","auto")</f>
        <v>1809.328369140625</v>
      </c>
      <c r="N63" s="8">
        <f t="shared" si="42"/>
        <v>0.66381334401122094</v>
      </c>
      <c r="O63" s="8">
        <f t="shared" si="43"/>
        <v>0.66380192549847661</v>
      </c>
      <c r="P63" s="8">
        <f t="shared" si="44"/>
        <v>0.6638052779683844</v>
      </c>
      <c r="Q63" s="8">
        <f t="shared" si="45"/>
        <v>298.4462138432221</v>
      </c>
      <c r="R63" s="8">
        <f t="shared" si="46"/>
        <v>344.11549229225471</v>
      </c>
      <c r="S63" s="4">
        <f t="shared" si="47"/>
        <v>329.31993119701605</v>
      </c>
      <c r="T63" s="5">
        <f t="shared" si="48"/>
        <v>62621.4921875</v>
      </c>
      <c r="U63" s="5">
        <f t="shared" si="49"/>
        <v>90588.9453125</v>
      </c>
      <c r="V63" s="5">
        <f t="shared" si="50"/>
        <v>0</v>
      </c>
      <c r="W63" s="5" t="s">
        <v>53</v>
      </c>
      <c r="X63" s="7">
        <f t="shared" si="51"/>
        <v>153484.99609375</v>
      </c>
      <c r="Y63" s="4">
        <v>0.61699999999999999</v>
      </c>
      <c r="Z63" s="9">
        <v>0.624</v>
      </c>
      <c r="AA63" s="9">
        <v>0.62</v>
      </c>
      <c r="AB63" s="9">
        <v>264.32</v>
      </c>
      <c r="AC63" s="9">
        <v>323.33999999999997</v>
      </c>
      <c r="AD63" s="4">
        <v>44.27</v>
      </c>
      <c r="AE63" s="4">
        <v>52.51</v>
      </c>
      <c r="AF63" s="9">
        <v>1072</v>
      </c>
      <c r="AG63" s="9">
        <v>830</v>
      </c>
      <c r="AH63" s="4">
        <v>252143</v>
      </c>
      <c r="AI63" s="9">
        <v>0</v>
      </c>
      <c r="AJ63" s="9">
        <v>0</v>
      </c>
      <c r="AK63" s="4">
        <v>210000</v>
      </c>
      <c r="AL63" s="5">
        <f>_xll.PIArcVal(Sheet1!$A$11,Sheet1!C63,0,"","auto")</f>
        <v>62621.4921875</v>
      </c>
      <c r="AM63" s="5">
        <f>_xll.PIArcVal(Sheet1!$A$12,Sheet1!C63,0,"","auto")</f>
        <v>90588.9453125</v>
      </c>
      <c r="AN63" s="5">
        <f>_xll.PIArcVal(Sheet1!$A$13,Sheet1!C63,0,"","auto")</f>
        <v>248.99681091308594</v>
      </c>
    </row>
    <row r="64" spans="2:40">
      <c r="B64" s="20">
        <v>46084</v>
      </c>
      <c r="C64" s="13">
        <v>46085</v>
      </c>
      <c r="D64" s="6">
        <f>_xll.PIArcVal(Sheet1!$A$1,Sheet1!C64,0,"","auto")</f>
        <v>203.48477172851563</v>
      </c>
      <c r="E64" s="6">
        <f>_xll.PIArcVal(Sheet1!$A$2,Sheet1!C64,0,"","auto")</f>
        <v>466.8055419921875</v>
      </c>
      <c r="F64" s="7">
        <f>_xll.PIArcVal(Sheet1!$A$3,Sheet1!C64,0,"","auto")</f>
        <v>431948.90625</v>
      </c>
      <c r="G64" s="7">
        <f>_xll.PIArcVal(Sheet1!$A$4,Sheet1!C64,0,"","auto")</f>
        <v>220270.015625</v>
      </c>
      <c r="H64" s="6">
        <f>_xll.PIArcVal(Sheet1!$A$5,Sheet1!C64,0,"","auto")</f>
        <v>44.819778442382813</v>
      </c>
      <c r="I64" s="6">
        <f>_xll.PIArcVal(Sheet1!$A$6,Sheet1!C64,0,"","auto")</f>
        <v>51.589736938476563</v>
      </c>
      <c r="J64" s="6">
        <f>_xll.PIArcVal(Sheet1!$A$7,Sheet1!C64,0,"","auto")</f>
        <v>52429.515625</v>
      </c>
      <c r="K64" s="6">
        <f>_xll.PIArcVal(Sheet1!$A$8,Sheet1!C64,0,"","auto")</f>
        <v>138443.359375</v>
      </c>
      <c r="L64" s="6">
        <f>_xll.PIArcVal(Sheet1!$A$9,Sheet1!C64,0,"","auto")</f>
        <v>1148.2994384765625</v>
      </c>
      <c r="M64" s="6">
        <f>_xll.PIArcVal(Sheet1!$A$10,Sheet1!C64,0,"","auto")</f>
        <v>1390.2655029296875</v>
      </c>
      <c r="N64" s="8">
        <f t="shared" si="42"/>
        <v>0.62359035333537305</v>
      </c>
      <c r="O64" s="8">
        <f t="shared" si="43"/>
        <v>0.62358979823041194</v>
      </c>
      <c r="P64" s="8">
        <f t="shared" si="44"/>
        <v>0.62358995070789447</v>
      </c>
      <c r="Q64" s="8">
        <f t="shared" si="45"/>
        <v>279.49163429624252</v>
      </c>
      <c r="R64" s="8">
        <f t="shared" si="46"/>
        <v>321.70841514497846</v>
      </c>
      <c r="S64" s="4">
        <f t="shared" si="47"/>
        <v>308.8923683690179</v>
      </c>
      <c r="T64" s="5">
        <f t="shared" si="48"/>
        <v>18867</v>
      </c>
      <c r="U64" s="5">
        <f t="shared" si="49"/>
        <v>172056</v>
      </c>
      <c r="V64" s="5">
        <f t="shared" si="50"/>
        <v>0</v>
      </c>
      <c r="W64" s="5" t="s">
        <v>53</v>
      </c>
      <c r="X64" s="7">
        <f t="shared" si="51"/>
        <v>190872.875</v>
      </c>
      <c r="Y64" s="4">
        <v>0.61699999999999999</v>
      </c>
      <c r="Z64" s="9">
        <v>0.624</v>
      </c>
      <c r="AA64" s="9">
        <v>0.62</v>
      </c>
      <c r="AB64" s="9">
        <v>264.32</v>
      </c>
      <c r="AC64" s="9">
        <v>323.33999999999997</v>
      </c>
      <c r="AD64" s="4">
        <v>44.27</v>
      </c>
      <c r="AE64" s="4">
        <v>52.51</v>
      </c>
      <c r="AF64" s="9">
        <v>1072</v>
      </c>
      <c r="AG64" s="9">
        <v>830</v>
      </c>
      <c r="AH64" s="4">
        <v>252143</v>
      </c>
      <c r="AI64" s="9">
        <v>0</v>
      </c>
      <c r="AJ64" s="9">
        <v>0</v>
      </c>
      <c r="AK64" s="4">
        <v>210000</v>
      </c>
      <c r="AL64" s="5">
        <f>_xll.PIArcVal(Sheet1!$A$11,Sheet1!C64,0,"","auto")</f>
        <v>18867</v>
      </c>
      <c r="AM64" s="5">
        <f>_xll.PIArcVal(Sheet1!$A$12,Sheet1!C64,0,"","auto")</f>
        <v>172056</v>
      </c>
      <c r="AN64" s="5">
        <f>_xll.PIArcVal(Sheet1!$A$13,Sheet1!C64,0,"","auto")</f>
        <v>-27</v>
      </c>
    </row>
    <row r="65" spans="2:40">
      <c r="B65" s="20">
        <v>46085</v>
      </c>
      <c r="C65" s="13">
        <v>46086</v>
      </c>
      <c r="D65" s="6">
        <f>_xll.PIArcVal(Sheet1!$A$1,Sheet1!C65,0,"","auto")</f>
        <v>210.35000610351563</v>
      </c>
      <c r="E65" s="6">
        <f>_xll.PIArcVal(Sheet1!$A$2,Sheet1!C65,0,"","auto")</f>
        <v>374.05999755859375</v>
      </c>
      <c r="F65" s="7">
        <f>_xll.PIArcVal(Sheet1!$A$3,Sheet1!C65,0,"","auto")</f>
        <v>437588</v>
      </c>
      <c r="G65" s="7">
        <f>_xll.PIArcVal(Sheet1!$A$4,Sheet1!C65,0,"","auto")</f>
        <v>231812</v>
      </c>
      <c r="H65" s="6">
        <f>_xll.PIArcVal(Sheet1!$A$5,Sheet1!C65,0,"","auto")</f>
        <v>44.5</v>
      </c>
      <c r="I65" s="6">
        <f>_xll.PIArcVal(Sheet1!$A$6,Sheet1!C65,0,"","auto")</f>
        <v>51.209999084472656</v>
      </c>
      <c r="J65" s="6">
        <f>_xll.PIArcVal(Sheet1!$A$7,Sheet1!C65,0,"","auto")</f>
        <v>51730</v>
      </c>
      <c r="K65" s="6">
        <f>_xll.PIArcVal(Sheet1!$A$8,Sheet1!C65,0,"","auto")</f>
        <v>105861</v>
      </c>
      <c r="L65" s="6">
        <f>_xll.PIArcVal(Sheet1!$A$9,Sheet1!C65,0,"","auto")</f>
        <v>1147.4000244140625</v>
      </c>
      <c r="M65" s="6">
        <f>_xll.PIArcVal(Sheet1!$A$10,Sheet1!C65,0,"","auto")</f>
        <v>2204.159912109375</v>
      </c>
      <c r="N65" s="8">
        <f t="shared" si="42"/>
        <v>0.61288000027112022</v>
      </c>
      <c r="O65" s="8">
        <f t="shared" si="43"/>
        <v>0.61289079964053028</v>
      </c>
      <c r="P65" s="8">
        <f t="shared" si="44"/>
        <v>0.61288725469573047</v>
      </c>
      <c r="Q65" s="8">
        <f t="shared" si="45"/>
        <v>272.73482833960009</v>
      </c>
      <c r="R65" s="8">
        <f t="shared" si="46"/>
        <v>313.85955751853317</v>
      </c>
      <c r="S65" s="4">
        <f t="shared" si="47"/>
        <v>299.05730057634099</v>
      </c>
      <c r="T65" s="5">
        <f t="shared" si="48"/>
        <v>18867</v>
      </c>
      <c r="U65" s="5">
        <f t="shared" si="49"/>
        <v>172056</v>
      </c>
      <c r="V65" s="5">
        <f t="shared" si="50"/>
        <v>0</v>
      </c>
      <c r="W65" s="5" t="s">
        <v>53</v>
      </c>
      <c r="X65" s="7">
        <f t="shared" si="51"/>
        <v>157591</v>
      </c>
      <c r="Y65" s="4">
        <v>0.61699999999999999</v>
      </c>
      <c r="Z65" s="9">
        <v>0.624</v>
      </c>
      <c r="AA65" s="9">
        <v>0.62</v>
      </c>
      <c r="AB65" s="9">
        <v>264.32</v>
      </c>
      <c r="AC65" s="9">
        <v>323.33999999999997</v>
      </c>
      <c r="AD65" s="4">
        <v>44.27</v>
      </c>
      <c r="AE65" s="4">
        <v>52.51</v>
      </c>
      <c r="AF65" s="9">
        <v>1072</v>
      </c>
      <c r="AG65" s="9">
        <v>830</v>
      </c>
      <c r="AH65" s="4">
        <v>252143</v>
      </c>
      <c r="AI65" s="9">
        <v>0</v>
      </c>
      <c r="AJ65" s="9">
        <v>0</v>
      </c>
      <c r="AK65" s="4">
        <v>210000</v>
      </c>
      <c r="AL65" s="5">
        <f>_xll.PIArcVal(Sheet1!$A$11,Sheet1!C65,0,"","auto")</f>
        <v>18867</v>
      </c>
      <c r="AM65" s="5">
        <f>_xll.PIArcVal(Sheet1!$A$12,Sheet1!C65,0,"","auto")</f>
        <v>172056</v>
      </c>
      <c r="AN65" s="5">
        <f>_xll.PIArcVal(Sheet1!$A$13,Sheet1!C65,0,"","auto")</f>
        <v>-27</v>
      </c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2026-03-05T02:41:06Z</dcterms:modified>
</cp:coreProperties>
</file>