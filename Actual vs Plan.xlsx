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ocuments\ฝึกสร้างเว็บ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43" i="1" l="1"/>
  <c r="H43" i="1"/>
  <c r="I43" i="1"/>
  <c r="J43" i="1"/>
  <c r="K43" i="1"/>
  <c r="L43" i="1"/>
  <c r="M43" i="1"/>
  <c r="AL43" i="1"/>
  <c r="AM43" i="1"/>
  <c r="E43" i="1"/>
  <c r="F43" i="1"/>
  <c r="AN43" i="1"/>
  <c r="D43" i="1"/>
  <c r="G43" i="1"/>
  <c r="V43" i="1" l="1"/>
  <c r="U43" i="1"/>
  <c r="T43" i="1"/>
  <c r="O43" i="1"/>
  <c r="X43" i="1"/>
  <c r="N43" i="1"/>
  <c r="P43" i="1"/>
  <c r="S43" i="1"/>
  <c r="R43" i="1" l="1"/>
  <c r="Q43" i="1"/>
  <c r="AK41" i="1"/>
  <c r="F41" i="1"/>
  <c r="G41" i="1"/>
  <c r="H41" i="1"/>
  <c r="I41" i="1"/>
  <c r="J41" i="1"/>
  <c r="K41" i="1"/>
  <c r="L41" i="1"/>
  <c r="M41" i="1"/>
  <c r="AL41" i="1"/>
  <c r="AM41" i="1"/>
  <c r="AN41" i="1"/>
  <c r="D41" i="1"/>
  <c r="E41" i="1"/>
  <c r="V41" i="1" l="1"/>
  <c r="U41" i="1"/>
  <c r="T41" i="1"/>
  <c r="O41" i="1"/>
  <c r="S41" i="1"/>
  <c r="X41" i="1"/>
  <c r="N41" i="1"/>
  <c r="P41" i="1"/>
  <c r="Q41" i="1" l="1"/>
  <c r="R41" i="1"/>
  <c r="AK38" i="1" l="1"/>
  <c r="E38" i="1"/>
  <c r="AL38" i="1"/>
  <c r="F38" i="1"/>
  <c r="G38" i="1"/>
  <c r="L38" i="1"/>
  <c r="M38" i="1"/>
  <c r="AM38" i="1"/>
  <c r="AN38" i="1"/>
  <c r="H38" i="1"/>
  <c r="I38" i="1"/>
  <c r="J38" i="1"/>
  <c r="K38" i="1"/>
  <c r="D38" i="1"/>
  <c r="O38" i="1" l="1"/>
  <c r="P38" i="1"/>
  <c r="S38" i="1"/>
  <c r="X38" i="1"/>
  <c r="N38" i="1"/>
  <c r="V38" i="1"/>
  <c r="U38" i="1"/>
  <c r="T38" i="1"/>
  <c r="Q38" i="1" l="1"/>
  <c r="R38" i="1"/>
  <c r="AR4" i="1" l="1"/>
</calcChain>
</file>

<file path=xl/sharedStrings.xml><?xml version="1.0" encoding="utf-8"?>
<sst xmlns="http://schemas.openxmlformats.org/spreadsheetml/2006/main" count="93" uniqueCount="53">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</sst>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1369.99</c:v>
                </c:pt>
                <c:pt idx="1">
                  <c:v>1369.99</c:v>
                </c:pt>
                <c:pt idx="2">
                  <c:v>1369.99</c:v>
                </c:pt>
                <c:pt idx="3">
                  <c:v>1369.99</c:v>
                </c:pt>
                <c:pt idx="4">
                  <c:v>1369.99</c:v>
                </c:pt>
                <c:pt idx="5">
                  <c:v>1369.99</c:v>
                </c:pt>
                <c:pt idx="6">
                  <c:v>1369.99</c:v>
                </c:pt>
                <c:pt idx="7">
                  <c:v>1369.99</c:v>
                </c:pt>
                <c:pt idx="8">
                  <c:v>1369.99</c:v>
                </c:pt>
                <c:pt idx="9">
                  <c:v>1369.99</c:v>
                </c:pt>
                <c:pt idx="10">
                  <c:v>1369.99</c:v>
                </c:pt>
                <c:pt idx="11">
                  <c:v>1369.99</c:v>
                </c:pt>
                <c:pt idx="12">
                  <c:v>1369.99</c:v>
                </c:pt>
                <c:pt idx="13">
                  <c:v>1369.99</c:v>
                </c:pt>
                <c:pt idx="14">
                  <c:v>1369.99</c:v>
                </c:pt>
                <c:pt idx="15">
                  <c:v>1369.99</c:v>
                </c:pt>
                <c:pt idx="16">
                  <c:v>1369.99</c:v>
                </c:pt>
                <c:pt idx="17">
                  <c:v>1369.99</c:v>
                </c:pt>
                <c:pt idx="18">
                  <c:v>1369.99</c:v>
                </c:pt>
                <c:pt idx="19">
                  <c:v>1369.99</c:v>
                </c:pt>
                <c:pt idx="20">
                  <c:v>1369.99</c:v>
                </c:pt>
                <c:pt idx="21">
                  <c:v>1369.99</c:v>
                </c:pt>
                <c:pt idx="22">
                  <c:v>1369.99</c:v>
                </c:pt>
                <c:pt idx="23">
                  <c:v>1369.99</c:v>
                </c:pt>
                <c:pt idx="24">
                  <c:v>1369.99</c:v>
                </c:pt>
                <c:pt idx="25">
                  <c:v>1369.99</c:v>
                </c:pt>
                <c:pt idx="26">
                  <c:v>1369.99</c:v>
                </c:pt>
                <c:pt idx="27">
                  <c:v>1369.99</c:v>
                </c:pt>
                <c:pt idx="28">
                  <c:v>1369.99</c:v>
                </c:pt>
                <c:pt idx="29">
                  <c:v>1369.99</c:v>
                </c:pt>
                <c:pt idx="30">
                  <c:v>1369.99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1287.671</c:v>
                </c:pt>
                <c:pt idx="1">
                  <c:v>1287.671</c:v>
                </c:pt>
                <c:pt idx="2">
                  <c:v>1287.671</c:v>
                </c:pt>
                <c:pt idx="3">
                  <c:v>1287.671</c:v>
                </c:pt>
                <c:pt idx="4">
                  <c:v>1287.671</c:v>
                </c:pt>
                <c:pt idx="5">
                  <c:v>1287.671</c:v>
                </c:pt>
                <c:pt idx="6">
                  <c:v>1287.671</c:v>
                </c:pt>
                <c:pt idx="7">
                  <c:v>1287.671</c:v>
                </c:pt>
                <c:pt idx="8">
                  <c:v>1287.671</c:v>
                </c:pt>
                <c:pt idx="9">
                  <c:v>1287.671</c:v>
                </c:pt>
                <c:pt idx="10">
                  <c:v>1287.671</c:v>
                </c:pt>
                <c:pt idx="11">
                  <c:v>1287.671</c:v>
                </c:pt>
                <c:pt idx="12">
                  <c:v>1287.671</c:v>
                </c:pt>
                <c:pt idx="13">
                  <c:v>1287.671</c:v>
                </c:pt>
                <c:pt idx="14">
                  <c:v>1287.671</c:v>
                </c:pt>
                <c:pt idx="15">
                  <c:v>1287.671</c:v>
                </c:pt>
                <c:pt idx="16">
                  <c:v>1287.671</c:v>
                </c:pt>
                <c:pt idx="17">
                  <c:v>1287.671</c:v>
                </c:pt>
                <c:pt idx="18">
                  <c:v>1287.671</c:v>
                </c:pt>
                <c:pt idx="19">
                  <c:v>1287.671</c:v>
                </c:pt>
                <c:pt idx="20">
                  <c:v>1287.671</c:v>
                </c:pt>
                <c:pt idx="21">
                  <c:v>1287.671</c:v>
                </c:pt>
                <c:pt idx="22">
                  <c:v>1287.671</c:v>
                </c:pt>
                <c:pt idx="23">
                  <c:v>1287.671</c:v>
                </c:pt>
                <c:pt idx="24">
                  <c:v>1287.671</c:v>
                </c:pt>
                <c:pt idx="25">
                  <c:v>1287.671</c:v>
                </c:pt>
                <c:pt idx="26">
                  <c:v>1287.671</c:v>
                </c:pt>
                <c:pt idx="27">
                  <c:v>1287.671</c:v>
                </c:pt>
                <c:pt idx="28">
                  <c:v>1287.671</c:v>
                </c:pt>
                <c:pt idx="29">
                  <c:v>1287.671</c:v>
                </c:pt>
                <c:pt idx="30">
                  <c:v>1287.671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250000</c:v>
                </c:pt>
                <c:pt idx="6">
                  <c:v>250000</c:v>
                </c:pt>
                <c:pt idx="7">
                  <c:v>250000</c:v>
                </c:pt>
                <c:pt idx="8">
                  <c:v>250000</c:v>
                </c:pt>
                <c:pt idx="9">
                  <c:v>250000</c:v>
                </c:pt>
                <c:pt idx="10">
                  <c:v>250000</c:v>
                </c:pt>
                <c:pt idx="11">
                  <c:v>250000</c:v>
                </c:pt>
                <c:pt idx="12">
                  <c:v>250000</c:v>
                </c:pt>
                <c:pt idx="13">
                  <c:v>250000</c:v>
                </c:pt>
                <c:pt idx="14">
                  <c:v>250000</c:v>
                </c:pt>
                <c:pt idx="15">
                  <c:v>250000</c:v>
                </c:pt>
                <c:pt idx="16">
                  <c:v>250000</c:v>
                </c:pt>
                <c:pt idx="17">
                  <c:v>250000</c:v>
                </c:pt>
                <c:pt idx="18">
                  <c:v>250000</c:v>
                </c:pt>
                <c:pt idx="19">
                  <c:v>250000</c:v>
                </c:pt>
                <c:pt idx="20">
                  <c:v>250000</c:v>
                </c:pt>
                <c:pt idx="21">
                  <c:v>250000</c:v>
                </c:pt>
                <c:pt idx="22">
                  <c:v>250000</c:v>
                </c:pt>
                <c:pt idx="23">
                  <c:v>250000</c:v>
                </c:pt>
                <c:pt idx="24">
                  <c:v>250000</c:v>
                </c:pt>
                <c:pt idx="25">
                  <c:v>250000</c:v>
                </c:pt>
                <c:pt idx="26">
                  <c:v>250000</c:v>
                </c:pt>
                <c:pt idx="27">
                  <c:v>250000</c:v>
                </c:pt>
                <c:pt idx="28">
                  <c:v>250000</c:v>
                </c:pt>
                <c:pt idx="29">
                  <c:v>250000</c:v>
                </c:pt>
                <c:pt idx="30">
                  <c:v>250000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C8" activePane="bottomRight" state="frozen"/>
      <selection pane="topRight" activeCell="C1" sqref="C1"/>
      <selection pane="bottomLeft" activeCell="A2" sqref="A2"/>
      <selection pane="bottomRight" activeCell="P53" sqref="P53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1369.99</v>
      </c>
      <c r="AG3" s="9">
        <v>1287.671</v>
      </c>
      <c r="AH3" s="4">
        <v>250000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1369.99</v>
      </c>
      <c r="AG4" s="9">
        <v>1287.671</v>
      </c>
      <c r="AH4" s="4">
        <v>250000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 ht="16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1369.99</v>
      </c>
      <c r="AG5" s="9">
        <v>1287.671</v>
      </c>
      <c r="AH5" s="4">
        <v>250000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 ht="16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1369.99</v>
      </c>
      <c r="AG6" s="9">
        <v>1287.671</v>
      </c>
      <c r="AH6" s="4">
        <v>250000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1369.99</v>
      </c>
      <c r="AG7" s="9">
        <v>1287.671</v>
      </c>
      <c r="AH7" s="4">
        <v>250000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1369.99</v>
      </c>
      <c r="AG8" s="9">
        <v>1287.671</v>
      </c>
      <c r="AH8" s="4">
        <v>250000</v>
      </c>
      <c r="AI8" s="9">
        <v>0</v>
      </c>
      <c r="AJ8" s="9">
        <v>0</v>
      </c>
      <c r="AK8" s="4">
        <v>250000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1369.99</v>
      </c>
      <c r="AG9" s="9">
        <v>1287.671</v>
      </c>
      <c r="AH9" s="4">
        <v>250000</v>
      </c>
      <c r="AI9" s="9">
        <v>0</v>
      </c>
      <c r="AJ9" s="9">
        <v>0</v>
      </c>
      <c r="AK9" s="4">
        <v>250000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1369.99</v>
      </c>
      <c r="AG10" s="9">
        <v>1287.671</v>
      </c>
      <c r="AH10" s="4">
        <v>250000</v>
      </c>
      <c r="AI10" s="9">
        <v>0</v>
      </c>
      <c r="AJ10" s="9">
        <v>0</v>
      </c>
      <c r="AK10" s="4">
        <v>250000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1369.99</v>
      </c>
      <c r="AG11" s="9">
        <v>1287.671</v>
      </c>
      <c r="AH11" s="4">
        <v>250000</v>
      </c>
      <c r="AI11" s="9">
        <v>0</v>
      </c>
      <c r="AJ11" s="9">
        <v>0</v>
      </c>
      <c r="AK11" s="4">
        <v>250000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1369.99</v>
      </c>
      <c r="AG12" s="9">
        <v>1287.671</v>
      </c>
      <c r="AH12" s="4">
        <v>250000</v>
      </c>
      <c r="AI12" s="9">
        <v>0</v>
      </c>
      <c r="AJ12" s="9">
        <v>0</v>
      </c>
      <c r="AK12" s="4">
        <v>250000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1369.99</v>
      </c>
      <c r="AG13" s="9">
        <v>1287.671</v>
      </c>
      <c r="AH13" s="4">
        <v>250000</v>
      </c>
      <c r="AI13" s="9">
        <v>0</v>
      </c>
      <c r="AJ13" s="9">
        <v>0</v>
      </c>
      <c r="AK13" s="4">
        <v>250000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1369.99</v>
      </c>
      <c r="AG14" s="9">
        <v>1287.671</v>
      </c>
      <c r="AH14" s="4">
        <v>250000</v>
      </c>
      <c r="AI14" s="9">
        <v>0</v>
      </c>
      <c r="AJ14" s="9">
        <v>0</v>
      </c>
      <c r="AK14" s="4">
        <v>250000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1369.99</v>
      </c>
      <c r="AG15" s="9">
        <v>1287.671</v>
      </c>
      <c r="AH15" s="4">
        <v>250000</v>
      </c>
      <c r="AI15" s="9">
        <v>0</v>
      </c>
      <c r="AJ15" s="9">
        <v>0</v>
      </c>
      <c r="AK15" s="4">
        <v>250000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1369.99</v>
      </c>
      <c r="AG16" s="9">
        <v>1287.671</v>
      </c>
      <c r="AH16" s="4">
        <v>250000</v>
      </c>
      <c r="AI16" s="9">
        <v>0</v>
      </c>
      <c r="AJ16" s="9">
        <v>0</v>
      </c>
      <c r="AK16" s="4">
        <v>250000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1369.99</v>
      </c>
      <c r="AG17" s="9">
        <v>1287.671</v>
      </c>
      <c r="AH17" s="4">
        <v>250000</v>
      </c>
      <c r="AI17" s="9">
        <v>0</v>
      </c>
      <c r="AJ17" s="9">
        <v>0</v>
      </c>
      <c r="AK17" s="4">
        <v>250000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1369.99</v>
      </c>
      <c r="AG18" s="9">
        <v>1287.671</v>
      </c>
      <c r="AH18" s="4">
        <v>250000</v>
      </c>
      <c r="AI18" s="9">
        <v>0</v>
      </c>
      <c r="AJ18" s="9">
        <v>0</v>
      </c>
      <c r="AK18" s="4">
        <v>250000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1369.99</v>
      </c>
      <c r="AG19" s="9">
        <v>1287.671</v>
      </c>
      <c r="AH19" s="4">
        <v>250000</v>
      </c>
      <c r="AI19" s="9">
        <v>0</v>
      </c>
      <c r="AJ19" s="9">
        <v>0</v>
      </c>
      <c r="AK19" s="4">
        <v>250000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1369.99</v>
      </c>
      <c r="AG20" s="9">
        <v>1287.671</v>
      </c>
      <c r="AH20" s="4">
        <v>250000</v>
      </c>
      <c r="AI20" s="9">
        <v>0</v>
      </c>
      <c r="AJ20" s="9">
        <v>0</v>
      </c>
      <c r="AK20" s="4">
        <v>250000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1369.99</v>
      </c>
      <c r="AG21" s="9">
        <v>1287.671</v>
      </c>
      <c r="AH21" s="4">
        <v>250000</v>
      </c>
      <c r="AI21" s="9">
        <v>0</v>
      </c>
      <c r="AJ21" s="9">
        <v>0</v>
      </c>
      <c r="AK21" s="4">
        <v>250000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1369.99</v>
      </c>
      <c r="AG22" s="9">
        <v>1287.671</v>
      </c>
      <c r="AH22" s="4">
        <v>250000</v>
      </c>
      <c r="AI22" s="9">
        <v>0</v>
      </c>
      <c r="AJ22" s="9">
        <v>0</v>
      </c>
      <c r="AK22" s="4">
        <v>250000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1369.99</v>
      </c>
      <c r="AG23" s="9">
        <v>1287.671</v>
      </c>
      <c r="AH23" s="4">
        <v>250000</v>
      </c>
      <c r="AI23" s="9">
        <v>0</v>
      </c>
      <c r="AJ23" s="9">
        <v>0</v>
      </c>
      <c r="AK23" s="4">
        <v>250000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1369.99</v>
      </c>
      <c r="AG24" s="9">
        <v>1287.671</v>
      </c>
      <c r="AH24" s="4">
        <v>250000</v>
      </c>
      <c r="AI24" s="9">
        <v>0</v>
      </c>
      <c r="AJ24" s="9">
        <v>0</v>
      </c>
      <c r="AK24" s="4">
        <v>250000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1369.99</v>
      </c>
      <c r="AG25" s="9">
        <v>1287.671</v>
      </c>
      <c r="AH25" s="4">
        <v>250000</v>
      </c>
      <c r="AI25" s="9">
        <v>0</v>
      </c>
      <c r="AJ25" s="9">
        <v>0</v>
      </c>
      <c r="AK25" s="4">
        <v>250000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1369.99</v>
      </c>
      <c r="AG26" s="9">
        <v>1287.671</v>
      </c>
      <c r="AH26" s="4">
        <v>250000</v>
      </c>
      <c r="AI26" s="9">
        <v>0</v>
      </c>
      <c r="AJ26" s="9">
        <v>0</v>
      </c>
      <c r="AK26" s="4">
        <v>250000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1369.99</v>
      </c>
      <c r="AG27" s="9">
        <v>1287.671</v>
      </c>
      <c r="AH27" s="4">
        <v>250000</v>
      </c>
      <c r="AI27" s="9">
        <v>0</v>
      </c>
      <c r="AJ27" s="9">
        <v>0</v>
      </c>
      <c r="AK27" s="4">
        <v>250000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1369.99</v>
      </c>
      <c r="AG28" s="9">
        <v>1287.671</v>
      </c>
      <c r="AH28" s="4">
        <v>250000</v>
      </c>
      <c r="AI28" s="9">
        <v>0</v>
      </c>
      <c r="AJ28" s="9">
        <v>0</v>
      </c>
      <c r="AK28" s="4">
        <v>250000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1369.99</v>
      </c>
      <c r="AG29" s="9">
        <v>1287.671</v>
      </c>
      <c r="AH29" s="4">
        <v>250000</v>
      </c>
      <c r="AI29" s="9">
        <v>0</v>
      </c>
      <c r="AJ29" s="9">
        <v>0</v>
      </c>
      <c r="AK29" s="4">
        <v>250000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1369.99</v>
      </c>
      <c r="AG30" s="9">
        <v>1287.671</v>
      </c>
      <c r="AH30" s="4">
        <v>250000</v>
      </c>
      <c r="AI30" s="9">
        <v>0</v>
      </c>
      <c r="AJ30" s="9">
        <v>0</v>
      </c>
      <c r="AK30" s="4">
        <v>250000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1369.99</v>
      </c>
      <c r="AG31" s="9">
        <v>1287.671</v>
      </c>
      <c r="AH31" s="4">
        <v>250000</v>
      </c>
      <c r="AI31" s="9">
        <v>0</v>
      </c>
      <c r="AJ31" s="9">
        <v>0</v>
      </c>
      <c r="AK31" s="4">
        <v>250000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1369.99</v>
      </c>
      <c r="AG32" s="9">
        <v>1287.671</v>
      </c>
      <c r="AH32" s="4">
        <v>250000</v>
      </c>
      <c r="AI32" s="9">
        <v>0</v>
      </c>
      <c r="AJ32" s="9">
        <v>0</v>
      </c>
      <c r="AK32" s="4">
        <v>250000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1369.99</v>
      </c>
      <c r="AG33" s="9">
        <v>1287.671</v>
      </c>
      <c r="AH33" s="4">
        <v>250000</v>
      </c>
      <c r="AI33" s="9">
        <v>0</v>
      </c>
      <c r="AJ33" s="9">
        <v>0</v>
      </c>
      <c r="AK33" s="4">
        <v>250000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1369.99</v>
      </c>
      <c r="AG34" s="9">
        <v>1287.671</v>
      </c>
      <c r="AH34" s="4">
        <v>250000</v>
      </c>
      <c r="AI34" s="9">
        <v>0</v>
      </c>
      <c r="AJ34" s="9">
        <v>0</v>
      </c>
      <c r="AK34" s="4">
        <v>250000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1369.99</v>
      </c>
      <c r="AG35" s="9">
        <v>1287.671</v>
      </c>
      <c r="AH35" s="4">
        <v>250000</v>
      </c>
      <c r="AI35" s="9">
        <v>0</v>
      </c>
      <c r="AJ35" s="9">
        <v>0</v>
      </c>
      <c r="AK35" s="4">
        <v>250000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1369.99</v>
      </c>
      <c r="AG36" s="9">
        <v>1287.671</v>
      </c>
      <c r="AH36" s="4">
        <v>250000</v>
      </c>
      <c r="AI36" s="9">
        <v>0</v>
      </c>
      <c r="AJ36" s="9">
        <v>0</v>
      </c>
      <c r="AK36" s="4">
        <v>250000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1369.99</v>
      </c>
      <c r="AG37" s="9">
        <v>1287.671</v>
      </c>
      <c r="AH37" s="4">
        <v>250000</v>
      </c>
      <c r="AI37" s="9">
        <v>0</v>
      </c>
      <c r="AJ37" s="9">
        <v>0</v>
      </c>
      <c r="AK37" s="4">
        <v>250000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f>_xll.PIArcVal(Sheet1!$A$1,Sheet1!C38,0,"","auto")</f>
        <v>267.52999877929688</v>
      </c>
      <c r="E38" s="6">
        <f>_xll.PIArcVal(Sheet1!$A$2,Sheet1!C38,0,"","auto")</f>
        <v>540.44000244140625</v>
      </c>
      <c r="F38" s="7">
        <f>_xll.PIArcVal(Sheet1!$A$3,Sheet1!C38,0,"","auto")</f>
        <v>421670</v>
      </c>
      <c r="G38" s="7">
        <f>_xll.PIArcVal(Sheet1!$A$4,Sheet1!C38,0,"","auto")</f>
        <v>189995</v>
      </c>
      <c r="H38" s="6">
        <f>_xll.PIArcVal(Sheet1!$A$5,Sheet1!C38,0,"","auto")</f>
        <v>45.75</v>
      </c>
      <c r="I38" s="6">
        <f>_xll.PIArcVal(Sheet1!$A$6,Sheet1!C38,0,"","auto")</f>
        <v>53.220001220703125</v>
      </c>
      <c r="J38" s="6">
        <f>_xll.PIArcVal(Sheet1!$A$7,Sheet1!C38,0,"","auto")</f>
        <v>74605</v>
      </c>
      <c r="K38" s="6">
        <f>_xll.PIArcVal(Sheet1!$A$8,Sheet1!C38,0,"","auto")</f>
        <v>175317</v>
      </c>
      <c r="L38" s="6">
        <f>_xll.PIArcVal(Sheet1!$A$9,Sheet1!C38,0,"","auto")</f>
        <v>1528.800048828125</v>
      </c>
      <c r="M38" s="6">
        <f>_xll.PIArcVal(Sheet1!$A$10,Sheet1!C38,0,"","auto")</f>
        <v>1389.8699951171875</v>
      </c>
      <c r="N38" s="8">
        <f t="shared" ref="N38" si="0">(J38+F38-F37)/(D38*H38/100)/1000</f>
        <v>0.61761522762613918</v>
      </c>
      <c r="O38" s="8">
        <f t="shared" ref="O38" si="1">(K38+G38-G37)/(E38*I38/100)/1000</f>
        <v>0.61760884551520856</v>
      </c>
      <c r="P38" s="8">
        <f t="shared" ref="P38" si="2">((J38+K38)+F38+G38-F37-G37)/(D38*H38/100+E38*I38/100)/1000</f>
        <v>0.61761075065089277</v>
      </c>
      <c r="Q38" s="8">
        <f t="shared" ref="Q38" si="3">P38*H38*10</f>
        <v>282.55691842278344</v>
      </c>
      <c r="R38" s="8">
        <f t="shared" ref="R38" si="4">P38*I38*10</f>
        <v>328.69244903559888</v>
      </c>
      <c r="S38" s="4">
        <f t="shared" ref="S38" si="5">((J38+K38)+F38+G38-F37-G37)/(D38+E38)</f>
        <v>313.41633924206553</v>
      </c>
      <c r="T38" s="5">
        <f t="shared" ref="T38" si="6">IF(AL38&lt;3000,0,AL38)</f>
        <v>214459</v>
      </c>
      <c r="U38" s="5">
        <f t="shared" ref="U38" si="7">IF(AM38&lt;3000,0,AM38)</f>
        <v>0</v>
      </c>
      <c r="V38" s="5">
        <f t="shared" ref="V38" si="8">IF(AN38&lt;3000,0,AN38)</f>
        <v>0</v>
      </c>
      <c r="W38" s="5" t="s">
        <v>51</v>
      </c>
      <c r="X38" s="7">
        <f t="shared" ref="X38" si="9">J38+K38</f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1369.99</v>
      </c>
      <c r="AG38" s="9">
        <v>1287.671</v>
      </c>
      <c r="AH38" s="4">
        <v>250000</v>
      </c>
      <c r="AI38" s="9">
        <v>0</v>
      </c>
      <c r="AJ38" s="9">
        <v>0</v>
      </c>
      <c r="AK38" s="4">
        <f t="shared" ref="AK38" si="10">SUM(AH38:AJ38)</f>
        <v>250000</v>
      </c>
      <c r="AL38" s="5">
        <f>_xll.PIArcVal(Sheet1!$A$11,Sheet1!C38,0,"","auto")</f>
        <v>214459</v>
      </c>
      <c r="AM38" s="5">
        <f>_xll.PIArcVal(Sheet1!$A$12,Sheet1!C38,0,"","auto")</f>
        <v>274</v>
      </c>
      <c r="AN38" s="5">
        <f>_xll.PIArcVal(Sheet1!$A$13,Sheet1!C38,0,"","auto")</f>
        <v>-90</v>
      </c>
    </row>
    <row r="39" spans="2:40">
      <c r="B39" s="20">
        <v>46059</v>
      </c>
      <c r="C39" s="13">
        <v>46060</v>
      </c>
      <c r="D39" s="6">
        <v>202.67999267578125</v>
      </c>
      <c r="E39" s="6">
        <v>586.760009765625</v>
      </c>
      <c r="F39" s="7">
        <v>419141</v>
      </c>
      <c r="G39" s="7">
        <v>181582</v>
      </c>
      <c r="H39" s="6">
        <v>46.290000915527344</v>
      </c>
      <c r="I39" s="6">
        <v>53.180000305175781</v>
      </c>
      <c r="J39" s="6">
        <v>56412</v>
      </c>
      <c r="K39" s="6">
        <v>187621</v>
      </c>
      <c r="L39" s="6">
        <v>1571.800048828125</v>
      </c>
      <c r="M39" s="6">
        <v>1153.5400390625</v>
      </c>
      <c r="N39" s="8">
        <v>0.57431967992542365</v>
      </c>
      <c r="O39" s="8">
        <v>0.57431287232367023</v>
      </c>
      <c r="P39" s="8">
        <v>0.57431444600374548</v>
      </c>
      <c r="Q39" s="8">
        <v>265.85016231313955</v>
      </c>
      <c r="R39" s="8">
        <v>305.42042413746049</v>
      </c>
      <c r="S39" s="4">
        <v>295.26119689798776</v>
      </c>
      <c r="T39" s="5">
        <v>249405</v>
      </c>
      <c r="U39" s="5">
        <v>0</v>
      </c>
      <c r="V39" s="5">
        <v>0</v>
      </c>
      <c r="W39" s="5" t="s">
        <v>51</v>
      </c>
      <c r="X39" s="7">
        <v>244033</v>
      </c>
      <c r="Y39" s="4">
        <v>0.61699999999999999</v>
      </c>
      <c r="Z39" s="9">
        <v>0.624</v>
      </c>
      <c r="AA39" s="9">
        <v>0.62</v>
      </c>
      <c r="AB39" s="9">
        <v>264.32</v>
      </c>
      <c r="AC39" s="9">
        <v>323.33999999999997</v>
      </c>
      <c r="AD39" s="4">
        <v>44.27</v>
      </c>
      <c r="AE39" s="4">
        <v>52.51</v>
      </c>
      <c r="AF39" s="9">
        <v>1369.99</v>
      </c>
      <c r="AG39" s="9">
        <v>1287.671</v>
      </c>
      <c r="AH39" s="4">
        <v>250000</v>
      </c>
      <c r="AI39" s="9">
        <v>0</v>
      </c>
      <c r="AJ39" s="9">
        <v>0</v>
      </c>
      <c r="AK39" s="4">
        <v>250000</v>
      </c>
      <c r="AL39" s="5">
        <v>249405</v>
      </c>
      <c r="AM39" s="5">
        <v>530</v>
      </c>
      <c r="AN39" s="5">
        <v>-13</v>
      </c>
    </row>
    <row r="40" spans="2:40">
      <c r="B40" s="20">
        <v>46060</v>
      </c>
      <c r="C40" s="13">
        <v>46061</v>
      </c>
      <c r="D40" s="6">
        <v>511.80999755859375</v>
      </c>
      <c r="E40" s="6">
        <v>365.79998779296875</v>
      </c>
      <c r="F40" s="7">
        <v>422878</v>
      </c>
      <c r="G40" s="7">
        <v>184666</v>
      </c>
      <c r="H40" s="6">
        <v>45.580001831054688</v>
      </c>
      <c r="I40" s="6">
        <v>52.610000610351563</v>
      </c>
      <c r="J40" s="6">
        <v>136530</v>
      </c>
      <c r="K40" s="6">
        <v>112631</v>
      </c>
      <c r="L40" s="6">
        <v>1616.0999755859375</v>
      </c>
      <c r="M40" s="6">
        <v>1365.0899658203125</v>
      </c>
      <c r="N40" s="8">
        <v>0.60127397297184004</v>
      </c>
      <c r="O40" s="8">
        <v>0.60128125682479905</v>
      </c>
      <c r="P40" s="8">
        <v>0.60127726556839112</v>
      </c>
      <c r="Q40" s="8">
        <v>274.06218865578819</v>
      </c>
      <c r="R40" s="8">
        <v>316.33197308543578</v>
      </c>
      <c r="S40" s="4">
        <v>291.68081980910455</v>
      </c>
      <c r="T40" s="5">
        <v>243968</v>
      </c>
      <c r="U40" s="5">
        <v>0</v>
      </c>
      <c r="V40" s="5">
        <v>0</v>
      </c>
      <c r="W40" s="5" t="s">
        <v>51</v>
      </c>
      <c r="X40" s="7">
        <v>249161</v>
      </c>
      <c r="Y40" s="4">
        <v>0.61699999999999999</v>
      </c>
      <c r="Z40" s="9">
        <v>0.624</v>
      </c>
      <c r="AA40" s="9">
        <v>0.62</v>
      </c>
      <c r="AB40" s="9">
        <v>264.32</v>
      </c>
      <c r="AC40" s="9">
        <v>323.33999999999997</v>
      </c>
      <c r="AD40" s="4">
        <v>44.27</v>
      </c>
      <c r="AE40" s="4">
        <v>52.51</v>
      </c>
      <c r="AF40" s="9">
        <v>1369.99</v>
      </c>
      <c r="AG40" s="9">
        <v>1287.671</v>
      </c>
      <c r="AH40" s="4">
        <v>250000</v>
      </c>
      <c r="AI40" s="9">
        <v>0</v>
      </c>
      <c r="AJ40" s="9">
        <v>0</v>
      </c>
      <c r="AK40" s="4">
        <v>250000</v>
      </c>
      <c r="AL40" s="5">
        <v>243968</v>
      </c>
      <c r="AM40" s="5">
        <v>92</v>
      </c>
      <c r="AN40" s="5">
        <v>-27</v>
      </c>
    </row>
    <row r="41" spans="2:40">
      <c r="B41" s="20">
        <v>46061</v>
      </c>
      <c r="C41" s="13">
        <v>46062</v>
      </c>
      <c r="D41" s="6">
        <f>_xll.PIArcVal(Sheet1!$A$1,Sheet1!C41,0,"","auto")</f>
        <v>325.8699951171875</v>
      </c>
      <c r="E41" s="6">
        <f>_xll.PIArcVal(Sheet1!$A$2,Sheet1!C41,0,"","auto")</f>
        <v>532.15997314453125</v>
      </c>
      <c r="F41" s="7">
        <f>_xll.PIArcVal(Sheet1!$A$3,Sheet1!C41,0,"","auto")</f>
        <v>416906</v>
      </c>
      <c r="G41" s="7">
        <f>_xll.PIArcVal(Sheet1!$A$4,Sheet1!C41,0,"","auto")</f>
        <v>172831</v>
      </c>
      <c r="H41" s="6">
        <f>_xll.PIArcVal(Sheet1!$A$5,Sheet1!C41,0,"","auto")</f>
        <v>43.009998321533203</v>
      </c>
      <c r="I41" s="6">
        <f>_xll.PIArcVal(Sheet1!$A$6,Sheet1!C41,0,"","auto")</f>
        <v>52.189998626708984</v>
      </c>
      <c r="J41" s="6">
        <f>_xll.PIArcVal(Sheet1!$A$7,Sheet1!C41,0,"","auto")</f>
        <v>87671</v>
      </c>
      <c r="K41" s="6">
        <f>_xll.PIArcVal(Sheet1!$A$8,Sheet1!C41,0,"","auto")</f>
        <v>173729</v>
      </c>
      <c r="L41" s="6">
        <f>_xll.PIArcVal(Sheet1!$A$9,Sheet1!C41,0,"","auto")</f>
        <v>1141.699951171875</v>
      </c>
      <c r="M41" s="6">
        <f>_xll.PIArcVal(Sheet1!$A$10,Sheet1!C41,0,"","auto")</f>
        <v>1405.5400390625</v>
      </c>
      <c r="N41" s="8">
        <f t="shared" ref="N41" si="11">(J41+F41-F40)/(D41*H41/100)/1000</f>
        <v>0.58291192636765532</v>
      </c>
      <c r="O41" s="8">
        <f t="shared" ref="O41" si="12">(K41+G41-G40)/(E41*I41/100)/1000</f>
        <v>0.58290967337600053</v>
      </c>
      <c r="P41" s="8">
        <f t="shared" ref="P41" si="13">((J41+K41)+F41+G41-F40-G40)/(D41*H41/100+E41*I41/100)/1000</f>
        <v>0.58291042900810974</v>
      </c>
      <c r="Q41" s="8">
        <f t="shared" ref="Q41" si="14">P41*H41*10</f>
        <v>250.70976573242999</v>
      </c>
      <c r="R41" s="8">
        <f t="shared" ref="R41" si="15">P41*I41*10</f>
        <v>304.22094489427593</v>
      </c>
      <c r="S41" s="4">
        <f t="shared" ref="S41" si="16">((J41+K41)+F41+G41-F40-G40)/(D41+E41)</f>
        <v>283.89800940577237</v>
      </c>
      <c r="T41" s="5">
        <f t="shared" ref="T41" si="17">IF(AL41&lt;3000,0,AL41)</f>
        <v>261643</v>
      </c>
      <c r="U41" s="5">
        <f t="shared" ref="U41" si="18">IF(AM41&lt;3000,0,AM41)</f>
        <v>0</v>
      </c>
      <c r="V41" s="5">
        <f t="shared" ref="V41" si="19">IF(AN41&lt;3000,0,AN41)</f>
        <v>0</v>
      </c>
      <c r="W41" s="5" t="s">
        <v>51</v>
      </c>
      <c r="X41" s="7">
        <f t="shared" ref="X41" si="20">J41+K41</f>
        <v>261400</v>
      </c>
      <c r="Y41" s="4">
        <v>0.61699999999999999</v>
      </c>
      <c r="Z41" s="9">
        <v>0.624</v>
      </c>
      <c r="AA41" s="9">
        <v>0.62</v>
      </c>
      <c r="AB41" s="9">
        <v>264.32</v>
      </c>
      <c r="AC41" s="9">
        <v>323.33999999999997</v>
      </c>
      <c r="AD41" s="4">
        <v>44.27</v>
      </c>
      <c r="AE41" s="4">
        <v>52.51</v>
      </c>
      <c r="AF41" s="9">
        <v>1369.99</v>
      </c>
      <c r="AG41" s="9">
        <v>1287.671</v>
      </c>
      <c r="AH41" s="4">
        <v>250000</v>
      </c>
      <c r="AI41" s="9">
        <v>0</v>
      </c>
      <c r="AJ41" s="9">
        <v>0</v>
      </c>
      <c r="AK41" s="4">
        <f t="shared" ref="AK41" si="21">SUM(AH41:AJ41)</f>
        <v>250000</v>
      </c>
      <c r="AL41" s="5">
        <f>_xll.PIArcVal(Sheet1!$A$11,Sheet1!C41,0,"","auto")</f>
        <v>261643</v>
      </c>
      <c r="AM41" s="5">
        <f>_xll.PIArcVal(Sheet1!$A$12,Sheet1!C41,0,"","auto")</f>
        <v>-274</v>
      </c>
      <c r="AN41" s="5">
        <f>_xll.PIArcVal(Sheet1!$A$13,Sheet1!C41,0,"","auto")</f>
        <v>31</v>
      </c>
    </row>
    <row r="42" spans="2:40">
      <c r="B42" s="20">
        <v>46062</v>
      </c>
      <c r="C42" s="13">
        <v>46063</v>
      </c>
      <c r="D42" s="6">
        <v>212.72000122070313</v>
      </c>
      <c r="E42" s="6">
        <v>471.44000244140625</v>
      </c>
      <c r="F42" s="7">
        <v>408949</v>
      </c>
      <c r="G42" s="7">
        <v>152483</v>
      </c>
      <c r="H42" s="6">
        <v>45.610000610351563</v>
      </c>
      <c r="I42" s="6">
        <v>52.630001068115234</v>
      </c>
      <c r="J42" s="6">
        <v>68540</v>
      </c>
      <c r="K42" s="6">
        <v>175283</v>
      </c>
      <c r="L42" s="6">
        <v>1175.199951171875</v>
      </c>
      <c r="M42" s="6">
        <v>1585.25</v>
      </c>
      <c r="N42" s="8">
        <v>0.62442800198147663</v>
      </c>
      <c r="O42" s="8">
        <v>0.62443857980007578</v>
      </c>
      <c r="P42" s="8">
        <v>0.62443560629536476</v>
      </c>
      <c r="Q42" s="8">
        <v>284.80508384256837</v>
      </c>
      <c r="R42" s="8">
        <v>328.64046626294231</v>
      </c>
      <c r="S42" s="4">
        <v>315.01110682646583</v>
      </c>
      <c r="T42" s="5">
        <v>261643</v>
      </c>
      <c r="U42" s="5">
        <v>0</v>
      </c>
      <c r="V42" s="5">
        <v>0</v>
      </c>
      <c r="W42" s="5" t="s">
        <v>51</v>
      </c>
      <c r="X42" s="7">
        <v>243823</v>
      </c>
      <c r="Y42" s="4">
        <v>0.61699999999999999</v>
      </c>
      <c r="Z42" s="9">
        <v>0.624</v>
      </c>
      <c r="AA42" s="9">
        <v>0.62</v>
      </c>
      <c r="AB42" s="9">
        <v>264.32</v>
      </c>
      <c r="AC42" s="9">
        <v>323.33999999999997</v>
      </c>
      <c r="AD42" s="4">
        <v>44.27</v>
      </c>
      <c r="AE42" s="4">
        <v>52.51</v>
      </c>
      <c r="AF42" s="9">
        <v>1369.99</v>
      </c>
      <c r="AG42" s="9">
        <v>1287.671</v>
      </c>
      <c r="AH42" s="4">
        <v>250000</v>
      </c>
      <c r="AI42" s="9">
        <v>0</v>
      </c>
      <c r="AJ42" s="9">
        <v>0</v>
      </c>
      <c r="AK42" s="4">
        <v>250000</v>
      </c>
      <c r="AL42" s="5">
        <v>261643</v>
      </c>
      <c r="AM42" s="5">
        <v>-274</v>
      </c>
      <c r="AN42" s="5">
        <v>31</v>
      </c>
    </row>
    <row r="43" spans="2:40">
      <c r="B43" s="20">
        <v>46063</v>
      </c>
      <c r="C43" s="13">
        <v>46064</v>
      </c>
      <c r="D43" s="6">
        <f>_xll.PIArcVal(Sheet1!$A$1,Sheet1!C43,0,"","auto")</f>
        <v>212.78999328613281</v>
      </c>
      <c r="E43" s="6">
        <f>_xll.PIArcVal(Sheet1!$A$2,Sheet1!C43,0,"","auto")</f>
        <v>580.59002685546875</v>
      </c>
      <c r="F43" s="7">
        <f>_xll.PIArcVal(Sheet1!$A$3,Sheet1!C43,0,"","auto")</f>
        <v>413692</v>
      </c>
      <c r="G43" s="7">
        <f>_xll.PIArcVal(Sheet1!$A$4,Sheet1!C43,0,"","auto")</f>
        <v>167473</v>
      </c>
      <c r="H43" s="6">
        <f>_xll.PIArcVal(Sheet1!$A$5,Sheet1!C43,0,"","auto")</f>
        <v>45.580001831054688</v>
      </c>
      <c r="I43" s="6">
        <f>_xll.PIArcVal(Sheet1!$A$6,Sheet1!C43,0,"","auto")</f>
        <v>52.799999237060547</v>
      </c>
      <c r="J43" s="6">
        <f>_xll.PIArcVal(Sheet1!$A$7,Sheet1!C43,0,"","auto")</f>
        <v>59394</v>
      </c>
      <c r="K43" s="6">
        <f>_xll.PIArcVal(Sheet1!$A$8,Sheet1!C43,0,"","auto")</f>
        <v>187725</v>
      </c>
      <c r="L43" s="6">
        <f>_xll.PIArcVal(Sheet1!$A$9,Sheet1!C43,0,"","auto")</f>
        <v>1398.0999755859375</v>
      </c>
      <c r="M43" s="6">
        <f>_xll.PIArcVal(Sheet1!$A$10,Sheet1!C43,0,"","auto")</f>
        <v>1483.93994140625</v>
      </c>
      <c r="N43" s="8">
        <f t="shared" ref="N43" si="22">(J43+F43-F42)/(D43*H43/100)/1000</f>
        <v>0.66127652060033726</v>
      </c>
      <c r="O43" s="8">
        <f t="shared" ref="O43" si="23">(K43+G43-G42)/(E43*I43/100)/1000</f>
        <v>0.661275447443463</v>
      </c>
      <c r="P43" s="8">
        <f t="shared" ref="P43" si="24">((J43+K43)+F43+G43-F42-G42)/(D43*H43/100+E43*I43/100)/1000</f>
        <v>0.66127570537286795</v>
      </c>
      <c r="Q43" s="8">
        <f t="shared" ref="Q43" si="25">P43*H43*10</f>
        <v>301.40947861727301</v>
      </c>
      <c r="R43" s="8">
        <f t="shared" ref="R43" si="26">P43*I43*10</f>
        <v>349.15356739174103</v>
      </c>
      <c r="S43" s="4">
        <f t="shared" ref="S43" si="27">((J43+K43)+F43+G43-F42-G42)/(D43+E43)</f>
        <v>336.3482734949294</v>
      </c>
      <c r="T43" s="5">
        <f t="shared" ref="T43" si="28">IF(AL43&lt;3000,0,AL43)</f>
        <v>246596</v>
      </c>
      <c r="U43" s="5">
        <f t="shared" ref="U43" si="29">IF(AM43&lt;3000,0,AM43)</f>
        <v>0</v>
      </c>
      <c r="V43" s="5">
        <f t="shared" ref="V43" si="30">IF(AN43&lt;3000,0,AN43)</f>
        <v>0</v>
      </c>
      <c r="W43" s="5" t="s">
        <v>51</v>
      </c>
      <c r="X43" s="7">
        <f t="shared" ref="X43" si="31">J43+K43</f>
        <v>247119</v>
      </c>
      <c r="Y43" s="4">
        <v>0.61699999999999999</v>
      </c>
      <c r="Z43" s="9">
        <v>0.624</v>
      </c>
      <c r="AA43" s="9">
        <v>0.62</v>
      </c>
      <c r="AB43" s="9">
        <v>264.32</v>
      </c>
      <c r="AC43" s="9">
        <v>323.33999999999997</v>
      </c>
      <c r="AD43" s="4">
        <v>44.27</v>
      </c>
      <c r="AE43" s="4">
        <v>52.51</v>
      </c>
      <c r="AF43" s="9">
        <v>1369.99</v>
      </c>
      <c r="AG43" s="9">
        <v>1287.671</v>
      </c>
      <c r="AH43" s="4">
        <v>250000</v>
      </c>
      <c r="AI43" s="9">
        <v>0</v>
      </c>
      <c r="AJ43" s="9">
        <v>0</v>
      </c>
      <c r="AK43" s="4">
        <f t="shared" ref="AK43" si="32">SUM(AH43:AJ43)</f>
        <v>250000</v>
      </c>
      <c r="AL43" s="5">
        <f>_xll.PIArcVal(Sheet1!$A$11,Sheet1!C43,0,"","auto")</f>
        <v>246596</v>
      </c>
      <c r="AM43" s="5">
        <f>_xll.PIArcVal(Sheet1!$A$12,Sheet1!C43,0,"","auto")</f>
        <v>-2773</v>
      </c>
      <c r="AN43" s="5">
        <f>_xll.PIArcVal(Sheet1!$A$13,Sheet1!C43,0,"","auto")</f>
        <v>0</v>
      </c>
    </row>
    <row r="44" spans="2:40">
      <c r="B44" s="20">
        <v>46064</v>
      </c>
      <c r="C44" s="13">
        <v>46065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spans="2:40">
      <c r="B45" s="20">
        <v>46065</v>
      </c>
      <c r="C45" s="13">
        <v>46066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spans="2:40">
      <c r="B46" s="20">
        <v>46066</v>
      </c>
      <c r="C46" s="13">
        <v>46067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spans="2:40">
      <c r="B47" s="20">
        <v>46067</v>
      </c>
      <c r="C47" s="13">
        <v>46068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spans="2:40">
      <c r="B48" s="20">
        <v>46068</v>
      </c>
      <c r="C48" s="13">
        <v>46069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</row>
    <row r="49" spans="2:40">
      <c r="B49" s="20">
        <v>46069</v>
      </c>
      <c r="C49" s="13">
        <v>46070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</row>
    <row r="50" spans="2:40">
      <c r="B50" s="20">
        <v>46070</v>
      </c>
      <c r="C50" s="13">
        <v>46071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</row>
    <row r="51" spans="2:40">
      <c r="B51" s="20">
        <v>46071</v>
      </c>
      <c r="C51" s="13">
        <v>46072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</row>
    <row r="52" spans="2:40">
      <c r="B52" s="20">
        <v>46072</v>
      </c>
      <c r="C52" s="13">
        <v>46073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</row>
    <row r="53" spans="2:40">
      <c r="B53" s="20">
        <v>46073</v>
      </c>
      <c r="C53" s="13">
        <v>46074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</row>
    <row r="54" spans="2:40">
      <c r="B54" s="20">
        <v>46074</v>
      </c>
      <c r="C54" s="13">
        <v>46075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</row>
    <row r="55" spans="2:40">
      <c r="B55" s="20">
        <v>46075</v>
      </c>
      <c r="C55" s="13">
        <v>46076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</row>
    <row r="56" spans="2:40">
      <c r="B56" s="20">
        <v>46076</v>
      </c>
      <c r="C56" s="13">
        <v>46077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</row>
    <row r="57" spans="2:40">
      <c r="B57" s="20">
        <v>46077</v>
      </c>
      <c r="C57" s="13">
        <v>46078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</row>
    <row r="58" spans="2:40">
      <c r="B58" s="20">
        <v>46078</v>
      </c>
      <c r="C58" s="13">
        <v>46079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</row>
    <row r="59" spans="2:40">
      <c r="B59" s="20">
        <v>46079</v>
      </c>
      <c r="C59" s="13">
        <v>46080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</row>
    <row r="60" spans="2:40">
      <c r="B60" s="20">
        <v>46080</v>
      </c>
      <c r="C60" s="13">
        <v>46081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</row>
    <row r="61" spans="2:40">
      <c r="B61" s="20">
        <v>46081</v>
      </c>
      <c r="C61" s="13">
        <v>46082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</row>
    <row r="62" spans="2:40">
      <c r="B62" s="20">
        <v>46082</v>
      </c>
      <c r="C62" s="13">
        <v>46083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</row>
    <row r="63" spans="2:40">
      <c r="B63" s="20">
        <v>46083</v>
      </c>
      <c r="C63" s="13">
        <v>46084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</row>
    <row r="64" spans="2:40">
      <c r="B64" s="20">
        <v>46084</v>
      </c>
      <c r="C64" s="13">
        <v>46085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</row>
    <row r="65" spans="2:40">
      <c r="B65" s="20">
        <v>46085</v>
      </c>
      <c r="C65" s="13">
        <v>46086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</row>
    <row r="66" spans="2:40">
      <c r="B66" s="20">
        <v>46086</v>
      </c>
      <c r="C66" s="13">
        <v>46087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</row>
    <row r="67" spans="2:40">
      <c r="B67" s="20">
        <v>46087</v>
      </c>
      <c r="C67" s="13">
        <v>46088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</row>
    <row r="68" spans="2:40">
      <c r="B68" s="20">
        <v>46088</v>
      </c>
      <c r="C68" s="13">
        <v>46089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</row>
    <row r="69" spans="2:40">
      <c r="B69" s="20">
        <v>46089</v>
      </c>
      <c r="C69" s="13">
        <v>46090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</row>
    <row r="70" spans="2:40">
      <c r="B70" s="20">
        <v>46090</v>
      </c>
      <c r="C70" s="13">
        <v>46091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</row>
    <row r="71" spans="2:40">
      <c r="B71" s="20">
        <v>46091</v>
      </c>
      <c r="C71" s="13">
        <v>46092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</row>
    <row r="72" spans="2:40">
      <c r="B72" s="20">
        <v>46092</v>
      </c>
      <c r="C72" s="13">
        <v>46093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</row>
    <row r="73" spans="2:40">
      <c r="B73" s="20">
        <v>46093</v>
      </c>
      <c r="C73" s="13">
        <v>46094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2:40">
      <c r="B74" s="20">
        <v>46094</v>
      </c>
      <c r="C74" s="13">
        <v>46095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2:40">
      <c r="B75" s="20">
        <v>46095</v>
      </c>
      <c r="C75" s="13">
        <v>46096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2:40">
      <c r="B76" s="20">
        <v>46096</v>
      </c>
      <c r="C76" s="13">
        <v>46097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2026-02-11T01:18:43Z</dcterms:modified>
</cp:coreProperties>
</file>