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7" i="1" l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U57" i="1" l="1"/>
  <c r="T57" i="1"/>
  <c r="P57" i="1"/>
  <c r="X57" i="1"/>
  <c r="N57" i="1"/>
  <c r="S57" i="1"/>
  <c r="V57" i="1"/>
  <c r="O57" i="1"/>
  <c r="AK56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<sst xmlns="http://schemas.openxmlformats.org/spreadsheetml/2006/main" count="107" uniqueCount="53">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</sst>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G66" sqref="G66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v>250000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v>250000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v>250000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v>250000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1369.99</v>
      </c>
      <c r="AG49" s="9">
        <v>1287.671</v>
      </c>
      <c r="AH49" s="4">
        <v>250000</v>
      </c>
      <c r="AI49" s="9">
        <v>0</v>
      </c>
      <c r="AJ49" s="9">
        <v>0</v>
      </c>
      <c r="AK49" s="4">
        <v>250000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1369.99</v>
      </c>
      <c r="AG50" s="9">
        <v>1287.671</v>
      </c>
      <c r="AH50" s="4">
        <v>250000</v>
      </c>
      <c r="AI50" s="9">
        <v>0</v>
      </c>
      <c r="AJ50" s="9">
        <v>0</v>
      </c>
      <c r="AK50" s="4">
        <v>250000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1369.99</v>
      </c>
      <c r="AG51" s="9">
        <v>1287.671</v>
      </c>
      <c r="AH51" s="4">
        <v>250000</v>
      </c>
      <c r="AI51" s="9">
        <v>0</v>
      </c>
      <c r="AJ51" s="9">
        <v>0</v>
      </c>
      <c r="AK51" s="4">
        <v>250000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1369.99</v>
      </c>
      <c r="AG52" s="9">
        <v>1287.671</v>
      </c>
      <c r="AH52" s="4">
        <v>250000</v>
      </c>
      <c r="AI52" s="9">
        <v>0</v>
      </c>
      <c r="AJ52" s="9">
        <v>0</v>
      </c>
      <c r="AK52" s="4">
        <v>250000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1369.99</v>
      </c>
      <c r="AG53" s="9">
        <v>1287.671</v>
      </c>
      <c r="AH53" s="4">
        <v>250000</v>
      </c>
      <c r="AI53" s="9">
        <v>0</v>
      </c>
      <c r="AJ53" s="9">
        <v>0</v>
      </c>
      <c r="AK53" s="4">
        <v>250000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1369.99</v>
      </c>
      <c r="AG54" s="9">
        <v>1287.671</v>
      </c>
      <c r="AH54" s="4">
        <v>250000</v>
      </c>
      <c r="AI54" s="9">
        <v>0</v>
      </c>
      <c r="AJ54" s="9">
        <v>0</v>
      </c>
      <c r="AK54" s="4">
        <v>250000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1369.99</v>
      </c>
      <c r="AG55" s="9">
        <v>1287.671</v>
      </c>
      <c r="AH55" s="4">
        <v>250000</v>
      </c>
      <c r="AI55" s="9">
        <v>0</v>
      </c>
      <c r="AJ55" s="9">
        <v>0</v>
      </c>
      <c r="AK55" s="4">
        <v>250000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0">(J56+F56-F55)/(D56*H56/100)/1000</f>
        <v>0.6251059313928754</v>
      </c>
      <c r="O56" s="8">
        <f t="shared" ref="O56" si="1">(K56+G56-G55)/(E56*I56/100)/1000</f>
        <v>0.62509874779713326</v>
      </c>
      <c r="P56" s="8">
        <f t="shared" ref="P56" si="2">((J56+K56)+F56+G56-F55-G55)/(D56*H56/100+E56*I56/100)/1000</f>
        <v>0.62510033747821026</v>
      </c>
      <c r="Q56" s="8">
        <f t="shared" ref="Q56" si="3">P56*H56*10</f>
        <v>282.73287977991225</v>
      </c>
      <c r="R56" s="8">
        <f t="shared" ref="R56" si="4">P56*I56*10</f>
        <v>325.86481260418293</v>
      </c>
      <c r="S56" s="4">
        <f t="shared" ref="S56" si="5">((J56+K56)+F56+G56-F55-G55)/(D56+E56)</f>
        <v>315.2231655775571</v>
      </c>
      <c r="T56" s="5">
        <f t="shared" ref="T56" si="6">IF(AL56&lt;3000,0,AL56)</f>
        <v>257769</v>
      </c>
      <c r="U56" s="5">
        <f t="shared" ref="U56" si="7">IF(AM56&lt;3000,0,AM56)</f>
        <v>0</v>
      </c>
      <c r="V56" s="5">
        <f t="shared" ref="V56" si="8">IF(AN56&lt;3000,0,AN56)</f>
        <v>0</v>
      </c>
      <c r="W56" s="5" t="s">
        <v>51</v>
      </c>
      <c r="X56" s="7">
        <f t="shared" ref="X56" si="9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1369.99</v>
      </c>
      <c r="AG56" s="9">
        <v>1287.671</v>
      </c>
      <c r="AH56" s="4">
        <v>250000</v>
      </c>
      <c r="AI56" s="9">
        <v>0</v>
      </c>
      <c r="AJ56" s="9">
        <v>0</v>
      </c>
      <c r="AK56" s="4">
        <f t="shared" ref="AK56" si="10">SUM(AH56:AJ56)</f>
        <v>250000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1369.99</v>
      </c>
      <c r="AG57" s="9">
        <v>1287.671</v>
      </c>
      <c r="AH57" s="4">
        <v>250000</v>
      </c>
      <c r="AI57" s="9">
        <v>0</v>
      </c>
      <c r="AJ57" s="9">
        <v>0</v>
      </c>
      <c r="AK57" s="4">
        <f t="shared" ref="AK57" si="21">SUM(AH57:AJ57)</f>
        <v>250000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2026-02-25T01:36:47Z</dcterms:modified>
</cp:coreProperties>
</file>