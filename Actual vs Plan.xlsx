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39" i="1" l="1"/>
  <c r="D39" i="1"/>
  <c r="G39" i="1"/>
  <c r="J39" i="1"/>
  <c r="L39" i="1"/>
  <c r="M39" i="1"/>
  <c r="AL39" i="1"/>
  <c r="AM39" i="1"/>
  <c r="E39" i="1"/>
  <c r="F39" i="1"/>
  <c r="K39" i="1"/>
  <c r="AN39" i="1"/>
  <c r="H39" i="1"/>
  <c r="I39" i="1"/>
  <c r="V39" i="1" l="1"/>
  <c r="O39" i="1"/>
  <c r="U39" i="1"/>
  <c r="T39" i="1"/>
  <c r="P39" i="1"/>
  <c r="X39" i="1"/>
  <c r="N39" i="1"/>
  <c r="S39" i="1"/>
  <c r="AK38" i="1"/>
  <c r="E38" i="1"/>
  <c r="AL38" i="1"/>
  <c r="F38" i="1"/>
  <c r="G38" i="1"/>
  <c r="L38" i="1"/>
  <c r="M38" i="1"/>
  <c r="AM38" i="1"/>
  <c r="AN38" i="1"/>
  <c r="H38" i="1"/>
  <c r="I38" i="1"/>
  <c r="J38" i="1"/>
  <c r="K38" i="1"/>
  <c r="D38" i="1"/>
  <c r="R39" i="1" l="1"/>
  <c r="Q39" i="1"/>
  <c r="O38" i="1"/>
  <c r="P38" i="1"/>
  <c r="S38" i="1"/>
  <c r="X38" i="1"/>
  <c r="N38" i="1"/>
  <c r="V38" i="1"/>
  <c r="U38" i="1"/>
  <c r="T38" i="1"/>
  <c r="Q38" i="1" l="1"/>
  <c r="R38" i="1"/>
  <c r="AR4" i="1" l="1"/>
</calcChain>
</file>

<file path=xl/sharedStrings.xml><?xml version="1.0" encoding="utf-8"?>
<sst xmlns="http://schemas.openxmlformats.org/spreadsheetml/2006/main" count="89" uniqueCount="53">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</sst>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AH51" sqref="AH51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f>_xll.PIArcVal(Sheet1!$A$1,Sheet1!C38,0,"","auto")</f>
        <v>267.52999877929688</v>
      </c>
      <c r="E38" s="6">
        <f>_xll.PIArcVal(Sheet1!$A$2,Sheet1!C38,0,"","auto")</f>
        <v>540.44000244140625</v>
      </c>
      <c r="F38" s="7">
        <f>_xll.PIArcVal(Sheet1!$A$3,Sheet1!C38,0,"","auto")</f>
        <v>421670</v>
      </c>
      <c r="G38" s="7">
        <f>_xll.PIArcVal(Sheet1!$A$4,Sheet1!C38,0,"","auto")</f>
        <v>189995</v>
      </c>
      <c r="H38" s="6">
        <f>_xll.PIArcVal(Sheet1!$A$5,Sheet1!C38,0,"","auto")</f>
        <v>45.75</v>
      </c>
      <c r="I38" s="6">
        <f>_xll.PIArcVal(Sheet1!$A$6,Sheet1!C38,0,"","auto")</f>
        <v>53.220001220703125</v>
      </c>
      <c r="J38" s="6">
        <f>_xll.PIArcVal(Sheet1!$A$7,Sheet1!C38,0,"","auto")</f>
        <v>74605</v>
      </c>
      <c r="K38" s="6">
        <f>_xll.PIArcVal(Sheet1!$A$8,Sheet1!C38,0,"","auto")</f>
        <v>175317</v>
      </c>
      <c r="L38" s="6">
        <f>_xll.PIArcVal(Sheet1!$A$9,Sheet1!C38,0,"","auto")</f>
        <v>1528.800048828125</v>
      </c>
      <c r="M38" s="6">
        <f>_xll.PIArcVal(Sheet1!$A$10,Sheet1!C38,0,"","auto")</f>
        <v>1389.8699951171875</v>
      </c>
      <c r="N38" s="8">
        <f t="shared" ref="N38" si="0">(J38+F38-F37)/(D38*H38/100)/1000</f>
        <v>0.61761522762613918</v>
      </c>
      <c r="O38" s="8">
        <f t="shared" ref="O38" si="1">(K38+G38-G37)/(E38*I38/100)/1000</f>
        <v>0.61760884551520856</v>
      </c>
      <c r="P38" s="8">
        <f t="shared" ref="P38" si="2">((J38+K38)+F38+G38-F37-G37)/(D38*H38/100+E38*I38/100)/1000</f>
        <v>0.61761075065089277</v>
      </c>
      <c r="Q38" s="8">
        <f t="shared" ref="Q38" si="3">P38*H38*10</f>
        <v>282.55691842278344</v>
      </c>
      <c r="R38" s="8">
        <f t="shared" ref="R38" si="4">P38*I38*10</f>
        <v>328.69244903559888</v>
      </c>
      <c r="S38" s="4">
        <f t="shared" ref="S38" si="5">((J38+K38)+F38+G38-F37-G37)/(D38+E38)</f>
        <v>313.41633924206553</v>
      </c>
      <c r="T38" s="5">
        <f t="shared" ref="T38" si="6">IF(AL38&lt;3000,0,AL38)</f>
        <v>214459</v>
      </c>
      <c r="U38" s="5">
        <f t="shared" ref="U38" si="7">IF(AM38&lt;3000,0,AM38)</f>
        <v>0</v>
      </c>
      <c r="V38" s="5">
        <f t="shared" ref="V38" si="8">IF(AN38&lt;3000,0,AN38)</f>
        <v>0</v>
      </c>
      <c r="W38" s="5" t="s">
        <v>51</v>
      </c>
      <c r="X38" s="7">
        <f t="shared" ref="X38" si="9">J38+K38</f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f t="shared" ref="AK38" si="10">SUM(AH38:AJ38)</f>
        <v>250000</v>
      </c>
      <c r="AL38" s="5">
        <f>_xll.PIArcVal(Sheet1!$A$11,Sheet1!C38,0,"","auto")</f>
        <v>214459</v>
      </c>
      <c r="AM38" s="5">
        <f>_xll.PIArcVal(Sheet1!$A$12,Sheet1!C38,0,"","auto")</f>
        <v>274</v>
      </c>
      <c r="AN38" s="5">
        <f>_xll.PIArcVal(Sheet1!$A$13,Sheet1!C38,0,"","auto")</f>
        <v>-90</v>
      </c>
    </row>
    <row r="39" spans="2:40">
      <c r="B39" s="20">
        <v>46059</v>
      </c>
      <c r="C39" s="13">
        <v>46060</v>
      </c>
      <c r="D39" s="6">
        <f>_xll.PIArcVal(Sheet1!$A$1,Sheet1!C39,0,"","auto")</f>
        <v>202.67999267578125</v>
      </c>
      <c r="E39" s="6">
        <f>_xll.PIArcVal(Sheet1!$A$2,Sheet1!C39,0,"","auto")</f>
        <v>586.760009765625</v>
      </c>
      <c r="F39" s="7">
        <f>_xll.PIArcVal(Sheet1!$A$3,Sheet1!C39,0,"","auto")</f>
        <v>419141</v>
      </c>
      <c r="G39" s="7">
        <f>_xll.PIArcVal(Sheet1!$A$4,Sheet1!C39,0,"","auto")</f>
        <v>181582</v>
      </c>
      <c r="H39" s="6">
        <f>_xll.PIArcVal(Sheet1!$A$5,Sheet1!C39,0,"","auto")</f>
        <v>46.290000915527344</v>
      </c>
      <c r="I39" s="6">
        <f>_xll.PIArcVal(Sheet1!$A$6,Sheet1!C39,0,"","auto")</f>
        <v>53.180000305175781</v>
      </c>
      <c r="J39" s="6">
        <f>_xll.PIArcVal(Sheet1!$A$7,Sheet1!C39,0,"","auto")</f>
        <v>56412</v>
      </c>
      <c r="K39" s="6">
        <f>_xll.PIArcVal(Sheet1!$A$8,Sheet1!C39,0,"","auto")</f>
        <v>187621</v>
      </c>
      <c r="L39" s="6">
        <f>_xll.PIArcVal(Sheet1!$A$9,Sheet1!C39,0,"","auto")</f>
        <v>1571.800048828125</v>
      </c>
      <c r="M39" s="6">
        <f>_xll.PIArcVal(Sheet1!$A$10,Sheet1!C39,0,"","auto")</f>
        <v>1153.5400390625</v>
      </c>
      <c r="N39" s="8">
        <f t="shared" ref="N39" si="11">(J39+F39-F38)/(D39*H39/100)/1000</f>
        <v>0.57431967992542365</v>
      </c>
      <c r="O39" s="8">
        <f t="shared" ref="O39" si="12">(K39+G39-G38)/(E39*I39/100)/1000</f>
        <v>0.57431287232367023</v>
      </c>
      <c r="P39" s="8">
        <f t="shared" ref="P39" si="13">((J39+K39)+F39+G39-F38-G38)/(D39*H39/100+E39*I39/100)/1000</f>
        <v>0.57431444600374548</v>
      </c>
      <c r="Q39" s="8">
        <f t="shared" ref="Q39" si="14">P39*H39*10</f>
        <v>265.85016231313955</v>
      </c>
      <c r="R39" s="8">
        <f t="shared" ref="R39" si="15">P39*I39*10</f>
        <v>305.42042413746049</v>
      </c>
      <c r="S39" s="4">
        <f t="shared" ref="S39" si="16">((J39+K39)+F39+G39-F38-G38)/(D39+E39)</f>
        <v>295.26119689798776</v>
      </c>
      <c r="T39" s="5">
        <f t="shared" ref="T39" si="17">IF(AL39&lt;3000,0,AL39)</f>
        <v>249405</v>
      </c>
      <c r="U39" s="5">
        <f t="shared" ref="U39" si="18">IF(AM39&lt;3000,0,AM39)</f>
        <v>0</v>
      </c>
      <c r="V39" s="5">
        <f t="shared" ref="V39" si="19">IF(AN39&lt;3000,0,AN39)</f>
        <v>0</v>
      </c>
      <c r="W39" s="5" t="s">
        <v>51</v>
      </c>
      <c r="X39" s="7">
        <f t="shared" ref="X39" si="20">J39+K39</f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f t="shared" ref="AK39" si="21">SUM(AH39:AJ39)</f>
        <v>250000</v>
      </c>
      <c r="AL39" s="5">
        <f>_xll.PIArcVal(Sheet1!$A$11,Sheet1!C39,0,"","auto")</f>
        <v>249405</v>
      </c>
      <c r="AM39" s="5">
        <f>_xll.PIArcVal(Sheet1!$A$12,Sheet1!C39,0,"","auto")</f>
        <v>530</v>
      </c>
      <c r="AN39" s="5">
        <f>_xll.PIArcVal(Sheet1!$A$13,Sheet1!C39,0,"","auto")</f>
        <v>-13</v>
      </c>
    </row>
    <row r="40" spans="2:40">
      <c r="B40" s="20">
        <v>46060</v>
      </c>
      <c r="C40" s="13">
        <v>46061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spans="2:40">
      <c r="B41" s="20">
        <v>46061</v>
      </c>
      <c r="C41" s="13">
        <v>46062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spans="2:40">
      <c r="B42" s="20">
        <v>46062</v>
      </c>
      <c r="C42" s="13">
        <v>46063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spans="2:40">
      <c r="B43" s="20">
        <v>46063</v>
      </c>
      <c r="C43" s="13">
        <v>46064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spans="2:40">
      <c r="B44" s="20">
        <v>46064</v>
      </c>
      <c r="C44" s="13">
        <v>46065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spans="2:40">
      <c r="B45" s="20">
        <v>46065</v>
      </c>
      <c r="C45" s="13">
        <v>46066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spans="2:40">
      <c r="B46" s="20">
        <v>46066</v>
      </c>
      <c r="C46" s="13">
        <v>46067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spans="2:40">
      <c r="B47" s="20">
        <v>46067</v>
      </c>
      <c r="C47" s="13">
        <v>46068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spans="2:40">
      <c r="B48" s="20">
        <v>46068</v>
      </c>
      <c r="C48" s="13">
        <v>46069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2026-02-07T01:10:32Z</dcterms:modified>
</cp:coreProperties>
</file>