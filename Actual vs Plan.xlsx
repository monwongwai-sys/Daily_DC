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jeeratheepk\Desktop\ฝึกสร้างเว็บ\Daily_DC\"/>
    </mc:Choice>
  </mc:AlternateContent>
  <bookViews>
    <workbookView xWindow="0" yWindow="0" windowWidth="10710" windowHeight="5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7" i="1" l="1"/>
  <c r="U67" i="1"/>
  <c r="V67" i="1"/>
  <c r="T68" i="1"/>
  <c r="U68" i="1"/>
  <c r="V68" i="1"/>
  <c r="T69" i="1"/>
  <c r="U69" i="1"/>
  <c r="V69" i="1"/>
  <c r="T70" i="1"/>
  <c r="U70" i="1"/>
  <c r="V70" i="1"/>
  <c r="D67" i="1"/>
  <c r="H68" i="1"/>
  <c r="L69" i="1"/>
  <c r="D70" i="1"/>
  <c r="L68" i="1"/>
  <c r="E67" i="1"/>
  <c r="I68" i="1"/>
  <c r="M69" i="1"/>
  <c r="E70" i="1"/>
  <c r="D69" i="1"/>
  <c r="I67" i="1"/>
  <c r="I70" i="1"/>
  <c r="F69" i="1"/>
  <c r="J70" i="1"/>
  <c r="K67" i="1"/>
  <c r="G69" i="1"/>
  <c r="K70" i="1"/>
  <c r="L67" i="1"/>
  <c r="D68" i="1"/>
  <c r="H69" i="1"/>
  <c r="L70" i="1"/>
  <c r="M67" i="1"/>
  <c r="E68" i="1"/>
  <c r="M70" i="1"/>
  <c r="F68" i="1"/>
  <c r="J69" i="1"/>
  <c r="G68" i="1"/>
  <c r="K69" i="1"/>
  <c r="F67" i="1"/>
  <c r="J68" i="1"/>
  <c r="F70" i="1"/>
  <c r="H70" i="1"/>
  <c r="M68" i="1"/>
  <c r="G67" i="1"/>
  <c r="K68" i="1"/>
  <c r="G70" i="1"/>
  <c r="H67" i="1"/>
  <c r="E69" i="1"/>
  <c r="J67" i="1"/>
  <c r="I69" i="1"/>
  <c r="AL68" i="1"/>
  <c r="AM68" i="1"/>
  <c r="AL69" i="1"/>
  <c r="AM69" i="1"/>
  <c r="AN69" i="1"/>
  <c r="AN68" i="1"/>
  <c r="P67" i="1" l="1"/>
  <c r="X67" i="1"/>
  <c r="N67" i="1"/>
  <c r="S67" i="1"/>
  <c r="O68" i="1"/>
  <c r="P68" i="1"/>
  <c r="S68" i="1"/>
  <c r="X68" i="1"/>
  <c r="N68" i="1"/>
  <c r="O69" i="1"/>
  <c r="P69" i="1"/>
  <c r="S69" i="1"/>
  <c r="X69" i="1"/>
  <c r="N69" i="1"/>
  <c r="O70" i="1"/>
  <c r="O67" i="1"/>
  <c r="P70" i="1"/>
  <c r="X70" i="1"/>
  <c r="N70" i="1"/>
  <c r="S70" i="1"/>
  <c r="D66" i="1"/>
  <c r="E66" i="1"/>
  <c r="F66" i="1"/>
  <c r="G66" i="1"/>
  <c r="H66" i="1"/>
  <c r="I66" i="1"/>
  <c r="J66" i="1"/>
  <c r="K66" i="1"/>
  <c r="L66" i="1"/>
  <c r="AL66" i="1"/>
  <c r="M66" i="1"/>
  <c r="AN66" i="1"/>
  <c r="AM66" i="1"/>
  <c r="AL67" i="1"/>
  <c r="AM67" i="1"/>
  <c r="AN67" i="1"/>
  <c r="Q69" i="1" l="1"/>
  <c r="R69" i="1"/>
  <c r="Q68" i="1"/>
  <c r="R68" i="1"/>
  <c r="R70" i="1"/>
  <c r="Q70" i="1"/>
  <c r="Q67" i="1"/>
  <c r="R67" i="1"/>
  <c r="O66" i="1"/>
  <c r="S66" i="1"/>
  <c r="X66" i="1"/>
  <c r="N66" i="1"/>
  <c r="P66" i="1"/>
  <c r="U66" i="1"/>
  <c r="V66" i="1"/>
  <c r="T66" i="1"/>
  <c r="AK60" i="1"/>
  <c r="D60" i="1"/>
  <c r="D61" i="1"/>
  <c r="D62" i="1"/>
  <c r="D63" i="1"/>
  <c r="D64" i="1"/>
  <c r="D65" i="1"/>
  <c r="E62" i="1"/>
  <c r="E63" i="1"/>
  <c r="E64" i="1"/>
  <c r="H60" i="1"/>
  <c r="H62" i="1"/>
  <c r="H64" i="1"/>
  <c r="I60" i="1"/>
  <c r="I65" i="1"/>
  <c r="J63" i="1"/>
  <c r="K61" i="1"/>
  <c r="L60" i="1"/>
  <c r="L63" i="1"/>
  <c r="L64" i="1"/>
  <c r="L65" i="1"/>
  <c r="AL61" i="1"/>
  <c r="M64" i="1"/>
  <c r="AM63" i="1"/>
  <c r="AM65" i="1"/>
  <c r="AN64" i="1"/>
  <c r="E60" i="1"/>
  <c r="E61" i="1"/>
  <c r="E65" i="1"/>
  <c r="H63" i="1"/>
  <c r="H65" i="1"/>
  <c r="I63" i="1"/>
  <c r="J61" i="1"/>
  <c r="J64" i="1"/>
  <c r="M61" i="1"/>
  <c r="AL62" i="1"/>
  <c r="M65" i="1"/>
  <c r="AN65" i="1"/>
  <c r="F60" i="1"/>
  <c r="F61" i="1"/>
  <c r="F62" i="1"/>
  <c r="F63" i="1"/>
  <c r="F64" i="1"/>
  <c r="F65" i="1"/>
  <c r="G61" i="1"/>
  <c r="G62" i="1"/>
  <c r="G63" i="1"/>
  <c r="G64" i="1"/>
  <c r="G65" i="1"/>
  <c r="I61" i="1"/>
  <c r="I64" i="1"/>
  <c r="J60" i="1"/>
  <c r="K60" i="1"/>
  <c r="K63" i="1"/>
  <c r="L61" i="1"/>
  <c r="M60" i="1"/>
  <c r="M63" i="1"/>
  <c r="AL65" i="1"/>
  <c r="AM62" i="1"/>
  <c r="AN61" i="1"/>
  <c r="G60" i="1"/>
  <c r="J62" i="1"/>
  <c r="K64" i="1"/>
  <c r="AL60" i="1"/>
  <c r="AL63" i="1"/>
  <c r="AM60" i="1"/>
  <c r="AN60" i="1"/>
  <c r="AN62" i="1"/>
  <c r="H61" i="1"/>
  <c r="I62" i="1"/>
  <c r="J65" i="1"/>
  <c r="K62" i="1"/>
  <c r="K65" i="1"/>
  <c r="L62" i="1"/>
  <c r="M62" i="1"/>
  <c r="AL64" i="1"/>
  <c r="AM61" i="1"/>
  <c r="AM64" i="1"/>
  <c r="AN63" i="1"/>
  <c r="R66" i="1" l="1"/>
  <c r="Q66" i="1"/>
  <c r="V63" i="1"/>
  <c r="U64" i="1"/>
  <c r="U61" i="1"/>
  <c r="T64" i="1"/>
  <c r="O65" i="1"/>
  <c r="O62" i="1"/>
  <c r="P65" i="1"/>
  <c r="S65" i="1"/>
  <c r="X65" i="1"/>
  <c r="N65" i="1"/>
  <c r="V62" i="1"/>
  <c r="V60" i="1"/>
  <c r="U60" i="1"/>
  <c r="T63" i="1"/>
  <c r="T60" i="1"/>
  <c r="O64" i="1"/>
  <c r="P62" i="1"/>
  <c r="N62" i="1"/>
  <c r="S62" i="1"/>
  <c r="X62" i="1"/>
  <c r="V61" i="1"/>
  <c r="U62" i="1"/>
  <c r="T65" i="1"/>
  <c r="O63" i="1"/>
  <c r="O60" i="1"/>
  <c r="P60" i="1"/>
  <c r="S60" i="1"/>
  <c r="X60" i="1"/>
  <c r="N60" i="1"/>
  <c r="V65" i="1"/>
  <c r="T62" i="1"/>
  <c r="P64" i="1"/>
  <c r="X64" i="1"/>
  <c r="N64" i="1"/>
  <c r="S64" i="1"/>
  <c r="P61" i="1"/>
  <c r="N61" i="1"/>
  <c r="X61" i="1"/>
  <c r="S61" i="1"/>
  <c r="V64" i="1"/>
  <c r="U65" i="1"/>
  <c r="U63" i="1"/>
  <c r="T61" i="1"/>
  <c r="O61" i="1"/>
  <c r="P63" i="1"/>
  <c r="X63" i="1"/>
  <c r="S63" i="1"/>
  <c r="N63" i="1"/>
  <c r="AK59" i="1"/>
  <c r="D59" i="1"/>
  <c r="H59" i="1"/>
  <c r="J59" i="1"/>
  <c r="K59" i="1"/>
  <c r="L59" i="1"/>
  <c r="AN59" i="1"/>
  <c r="E59" i="1"/>
  <c r="G59" i="1"/>
  <c r="I59" i="1"/>
  <c r="M59" i="1"/>
  <c r="AL59" i="1"/>
  <c r="AM59" i="1"/>
  <c r="F59" i="1"/>
  <c r="Q61" i="1" l="1"/>
  <c r="R61" i="1"/>
  <c r="Q63" i="1"/>
  <c r="R63" i="1"/>
  <c r="Q64" i="1"/>
  <c r="R64" i="1"/>
  <c r="Q65" i="1"/>
  <c r="R65" i="1"/>
  <c r="Q62" i="1"/>
  <c r="R62" i="1"/>
  <c r="Q60" i="1"/>
  <c r="R60" i="1"/>
  <c r="U59" i="1"/>
  <c r="T59" i="1"/>
  <c r="V59" i="1"/>
  <c r="O59" i="1"/>
  <c r="X59" i="1"/>
  <c r="N59" i="1"/>
  <c r="P59" i="1"/>
  <c r="S59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8" i="1"/>
  <c r="R59" i="1" l="1"/>
  <c r="Q59" i="1"/>
  <c r="D58" i="1"/>
  <c r="G58" i="1"/>
  <c r="H58" i="1"/>
  <c r="K58" i="1"/>
  <c r="L58" i="1"/>
  <c r="M58" i="1"/>
  <c r="AL58" i="1"/>
  <c r="I58" i="1"/>
  <c r="J58" i="1"/>
  <c r="AM58" i="1"/>
  <c r="AN58" i="1"/>
  <c r="E58" i="1"/>
  <c r="F58" i="1"/>
  <c r="V58" i="1" l="1"/>
  <c r="U58" i="1"/>
  <c r="P58" i="1"/>
  <c r="X58" i="1"/>
  <c r="N58" i="1"/>
  <c r="S58" i="1"/>
  <c r="T58" i="1"/>
  <c r="O58" i="1"/>
  <c r="D57" i="1"/>
  <c r="E57" i="1"/>
  <c r="I57" i="1"/>
  <c r="K57" i="1"/>
  <c r="M57" i="1"/>
  <c r="AN57" i="1"/>
  <c r="F57" i="1"/>
  <c r="G57" i="1"/>
  <c r="H57" i="1"/>
  <c r="J57" i="1"/>
  <c r="L57" i="1"/>
  <c r="AL57" i="1"/>
  <c r="AM57" i="1"/>
  <c r="Q58" i="1" l="1"/>
  <c r="R58" i="1"/>
  <c r="U57" i="1"/>
  <c r="T57" i="1"/>
  <c r="P57" i="1"/>
  <c r="X57" i="1"/>
  <c r="N57" i="1"/>
  <c r="S57" i="1"/>
  <c r="V57" i="1"/>
  <c r="O57" i="1"/>
  <c r="D56" i="1"/>
  <c r="E56" i="1"/>
  <c r="F56" i="1"/>
  <c r="G56" i="1"/>
  <c r="AL56" i="1"/>
  <c r="AM56" i="1"/>
  <c r="H56" i="1"/>
  <c r="K56" i="1"/>
  <c r="L56" i="1"/>
  <c r="AN56" i="1"/>
  <c r="I56" i="1"/>
  <c r="J56" i="1"/>
  <c r="M56" i="1"/>
  <c r="Q57" i="1" l="1"/>
  <c r="R57" i="1"/>
  <c r="P56" i="1"/>
  <c r="S56" i="1"/>
  <c r="X56" i="1"/>
  <c r="N56" i="1"/>
  <c r="V56" i="1"/>
  <c r="O56" i="1"/>
  <c r="U56" i="1"/>
  <c r="T56" i="1"/>
  <c r="Q56" i="1" l="1"/>
  <c r="R56" i="1"/>
  <c r="AR4" i="1" l="1"/>
</calcChain>
</file>

<file path=xl/sharedStrings.xml><?xml version="1.0" encoding="utf-8"?>
<sst xmlns="http://schemas.openxmlformats.org/spreadsheetml/2006/main" count="120" uniqueCount="54">
  <si>
    <t>date</t>
  </si>
  <si>
    <t>BEB3-12-0400-Daily.Cmol.Consumption</t>
  </si>
  <si>
    <r>
      <t>BEB3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12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0400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Daily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Bmol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Consumption</t>
    </r>
  </si>
  <si>
    <r>
      <t>BEB3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12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0400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Daily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Cmol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WIP</t>
    </r>
  </si>
  <si>
    <r>
      <t>BEB3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12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0400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Daily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Bmol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WIP</t>
    </r>
  </si>
  <si>
    <r>
      <t>BEB3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52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0400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Daily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Cmol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FS</t>
    </r>
  </si>
  <si>
    <r>
      <t>BEB3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52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0400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Daily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Bmol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FS</t>
    </r>
  </si>
  <si>
    <r>
      <t>BEB3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12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0800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Daily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Cmol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Ethanol</t>
    </r>
  </si>
  <si>
    <r>
      <t>BEB3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12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0800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Daily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Bmol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Ethanol</t>
    </r>
  </si>
  <si>
    <r>
      <t>BEB3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72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0700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Daily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Vinasses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Volume</t>
    </r>
  </si>
  <si>
    <r>
      <t>BEB3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72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0700</t>
    </r>
    <r>
      <rPr>
        <sz val="11"/>
        <color theme="1"/>
        <rFont val="Angsana New"/>
        <family val="1"/>
      </rPr>
      <t>-</t>
    </r>
    <r>
      <rPr>
        <sz val="11"/>
        <color theme="1"/>
        <rFont val="Calibri"/>
        <family val="2"/>
        <scheme val="minor"/>
      </rPr>
      <t>Daily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Vinasses</t>
    </r>
    <r>
      <rPr>
        <sz val="11"/>
        <color theme="1"/>
        <rFont val="Angsana New"/>
        <family val="1"/>
      </rPr>
      <t>.</t>
    </r>
    <r>
      <rPr>
        <sz val="11"/>
        <color theme="1"/>
        <rFont val="Calibri"/>
        <family val="2"/>
        <scheme val="minor"/>
      </rPr>
      <t>Distributed</t>
    </r>
  </si>
  <si>
    <t>BEB3-12-0800-Daily.Ethanol.Fuel</t>
  </si>
  <si>
    <t>BEB3-12-0800-Daily.Ethanol.ENA</t>
  </si>
  <si>
    <t>BEB3-12-0800-Daily.Ethanol.D-ENA</t>
  </si>
  <si>
    <t>C-mol_Actual</t>
  </si>
  <si>
    <t>B-mol_Actual</t>
  </si>
  <si>
    <t>wip C-mol_Actual</t>
  </si>
  <si>
    <t>wip B-mol_Actual</t>
  </si>
  <si>
    <t>%FS C-mol_Actual</t>
  </si>
  <si>
    <t>%FS B-mol_Actual</t>
  </si>
  <si>
    <t>Ethanol C-mol_Actual</t>
  </si>
  <si>
    <t>Ethanol B-mol_Actual</t>
  </si>
  <si>
    <t>Vinasses_Actual</t>
  </si>
  <si>
    <t>Vinasses Sale_Actual</t>
  </si>
  <si>
    <t>CF C-mol_Actual</t>
  </si>
  <si>
    <t>CF B-mol_Actual</t>
  </si>
  <si>
    <t>CF_Actual</t>
  </si>
  <si>
    <t>Yield C-mol_Actual</t>
  </si>
  <si>
    <t>Yield B-mol_Actual</t>
  </si>
  <si>
    <t>Yield_Actual</t>
  </si>
  <si>
    <t>Fuel_Actual</t>
  </si>
  <si>
    <t>ENA_Actual</t>
  </si>
  <si>
    <t>DENA_Actual</t>
  </si>
  <si>
    <t>Ethanol_Actual</t>
  </si>
  <si>
    <t>CF C-mol_Plan</t>
  </si>
  <si>
    <t>CF B-mol_Plan</t>
  </si>
  <si>
    <t>CF_Plan</t>
  </si>
  <si>
    <t>Yield C-mol_Plan</t>
  </si>
  <si>
    <t>Yield B-mol_Plan</t>
  </si>
  <si>
    <t>%FS C-mol_Plan</t>
  </si>
  <si>
    <t>%FS B-mol_Plan</t>
  </si>
  <si>
    <t>Vinasses_Plan</t>
  </si>
  <si>
    <t>Vinasses Sale_Plan</t>
  </si>
  <si>
    <t>Fuel_Plan</t>
  </si>
  <si>
    <t>ENA_Plan</t>
  </si>
  <si>
    <t>DENA_Plan</t>
  </si>
  <si>
    <t>Ethanol_Plan</t>
  </si>
  <si>
    <t>Fuel_Report</t>
  </si>
  <si>
    <t>ENA_Report</t>
  </si>
  <si>
    <t>DENA_Report</t>
  </si>
  <si>
    <t>Name_Production</t>
  </si>
  <si>
    <t>Fuel</t>
  </si>
  <si>
    <t>time pi datalink</t>
  </si>
  <si>
    <t>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</si>
</sst>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Angsana New"/>
      <family val="1"/>
    </font>
    <font>
      <b/>
      <sz val="2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/>
    <xf numFmtId="0" fontId="1" fillId="0" borderId="0" xfId="0" quotePrefix="1" applyFont="1" applyAlignment="1">
      <alignment vertical="center"/>
    </xf>
    <xf numFmtId="0" fontId="1" fillId="0" borderId="0" xfId="0" quotePrefix="1" applyFont="1"/>
    <xf numFmtId="0" fontId="0" fillId="0" borderId="0" xfId="0" applyBorder="1"/>
    <xf numFmtId="0" fontId="0" fillId="0" borderId="0" xfId="0" applyNumberFormat="1" applyBorder="1"/>
    <xf numFmtId="2" fontId="0" fillId="0" borderId="0" xfId="0" applyNumberFormat="1" applyBorder="1"/>
    <xf numFmtId="1" fontId="0" fillId="0" borderId="0" xfId="0" applyNumberFormat="1" applyBorder="1"/>
    <xf numFmtId="164" fontId="0" fillId="0" borderId="0" xfId="0" applyNumberFormat="1" applyBorder="1"/>
    <xf numFmtId="0" fontId="0" fillId="0" borderId="0" xfId="0" applyFill="1" applyBorder="1"/>
    <xf numFmtId="0" fontId="0" fillId="4" borderId="0" xfId="0" applyNumberFormat="1" applyFill="1" applyBorder="1"/>
    <xf numFmtId="0" fontId="0" fillId="4" borderId="0" xfId="0" applyFill="1" applyBorder="1"/>
    <xf numFmtId="0" fontId="0" fillId="0" borderId="0" xfId="0" applyNumberFormat="1"/>
    <xf numFmtId="14" fontId="0" fillId="3" borderId="0" xfId="0" applyNumberFormat="1" applyFill="1" applyBorder="1"/>
    <xf numFmtId="0" fontId="1" fillId="0" borderId="0" xfId="0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5" borderId="0" xfId="0" applyFill="1" applyBorder="1"/>
    <xf numFmtId="0" fontId="0" fillId="6" borderId="0" xfId="0" applyFill="1" applyBorder="1"/>
    <xf numFmtId="0" fontId="0" fillId="2" borderId="0" xfId="0" applyFill="1" applyBorder="1"/>
    <xf numFmtId="0" fontId="0" fillId="7" borderId="0" xfId="0" applyFill="1" applyBorder="1"/>
    <xf numFmtId="14" fontId="0" fillId="0" borderId="0" xfId="0" applyNumberFormat="1" applyBorder="1"/>
    <xf numFmtId="14" fontId="3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CF_Actual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3293-492F-8385-7317FCBDA947}"/>
              </c:ext>
            </c:extLst>
          </c:dPt>
          <c:dLbls>
            <c:dLbl>
              <c:idx val="0"/>
              <c:layout>
                <c:manualLayout>
                  <c:x val="-3.2981138737049887E-2"/>
                  <c:y val="6.66612625640605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6C4-4EBD-9DB5-5F6028942F55}"/>
                </c:ext>
              </c:extLst>
            </c:dLbl>
            <c:dLbl>
              <c:idx val="30"/>
              <c:layout>
                <c:manualLayout>
                  <c:x val="-2.6997275378962453E-2"/>
                  <c:y val="6.180521753361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93-492F-8385-7317FCBDA9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Sheet1!$P$3:$P$33</c:f>
              <c:numCache>
                <c:formatCode>0.000</c:formatCode>
                <c:ptCount val="31"/>
                <c:pt idx="0">
                  <c:v>0.62019720382341692</c:v>
                </c:pt>
                <c:pt idx="1">
                  <c:v>0.6057044226130408</c:v>
                </c:pt>
                <c:pt idx="2">
                  <c:v>0.64369451487210294</c:v>
                </c:pt>
                <c:pt idx="3">
                  <c:v>0.6196741455236362</c:v>
                </c:pt>
                <c:pt idx="4">
                  <c:v>0.6211158289390124</c:v>
                </c:pt>
                <c:pt idx="5">
                  <c:v>0.64607582308347067</c:v>
                </c:pt>
                <c:pt idx="6">
                  <c:v>0.60533237986539168</c:v>
                </c:pt>
                <c:pt idx="7">
                  <c:v>0.6189343834127613</c:v>
                </c:pt>
                <c:pt idx="8">
                  <c:v>0.60354386131298243</c:v>
                </c:pt>
                <c:pt idx="9">
                  <c:v>0.60033021495722816</c:v>
                </c:pt>
                <c:pt idx="10">
                  <c:v>0.60113662918236299</c:v>
                </c:pt>
                <c:pt idx="11">
                  <c:v>0.60271523704464436</c:v>
                </c:pt>
                <c:pt idx="12">
                  <c:v>0.61450057495132504</c:v>
                </c:pt>
                <c:pt idx="13">
                  <c:v>0.62871728138478788</c:v>
                </c:pt>
                <c:pt idx="14">
                  <c:v>0.59781969008559332</c:v>
                </c:pt>
                <c:pt idx="15">
                  <c:v>0.55716593069476905</c:v>
                </c:pt>
                <c:pt idx="16">
                  <c:v>0.62691798619148331</c:v>
                </c:pt>
                <c:pt idx="17">
                  <c:v>0.63713832755034461</c:v>
                </c:pt>
                <c:pt idx="18">
                  <c:v>0.61722546685087731</c:v>
                </c:pt>
                <c:pt idx="19">
                  <c:v>0.60247415065358212</c:v>
                </c:pt>
                <c:pt idx="20">
                  <c:v>0.60461368664925319</c:v>
                </c:pt>
                <c:pt idx="21">
                  <c:v>0.6197710251280083</c:v>
                </c:pt>
                <c:pt idx="22">
                  <c:v>0.62196488003292583</c:v>
                </c:pt>
                <c:pt idx="23">
                  <c:v>0.56326360534623843</c:v>
                </c:pt>
                <c:pt idx="24">
                  <c:v>0.5974573838116406</c:v>
                </c:pt>
                <c:pt idx="25">
                  <c:v>0.51543701444944579</c:v>
                </c:pt>
                <c:pt idx="26">
                  <c:v>0.58829581127862229</c:v>
                </c:pt>
                <c:pt idx="27">
                  <c:v>0.63307409356935362</c:v>
                </c:pt>
                <c:pt idx="28">
                  <c:v>0.58570527768864022</c:v>
                </c:pt>
                <c:pt idx="29">
                  <c:v>0.58723941583236261</c:v>
                </c:pt>
                <c:pt idx="30">
                  <c:v>0.61899083664140098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4-4EBD-9DB5-5F6028942F55}"/>
            </c:ext>
          </c:extLst>
        </c:ser>
        <c:ser>
          <c:idx val="1"/>
          <c:order val="1"/>
          <c:tx>
            <c:strRef>
              <c:f>Sheet1!$AA$1</c:f>
              <c:strCache>
                <c:ptCount val="1"/>
                <c:pt idx="0">
                  <c:v>CF_Plan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93-492F-8385-7317FCBDA947}"/>
                </c:ext>
              </c:extLst>
            </c:dLbl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93-492F-8385-7317FCBDA9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Sheet1!$AA$3:$AA$33</c:f>
              <c:numCache>
                <c:formatCode>General</c:formatCode>
                <c:ptCount val="31"/>
                <c:pt idx="0">
                  <c:v>0.62</c:v>
                </c:pt>
                <c:pt idx="1">
                  <c:v>0.62</c:v>
                </c:pt>
                <c:pt idx="2">
                  <c:v>0.62</c:v>
                </c:pt>
                <c:pt idx="3">
                  <c:v>0.62</c:v>
                </c:pt>
                <c:pt idx="4">
                  <c:v>0.62</c:v>
                </c:pt>
                <c:pt idx="5">
                  <c:v>0.62</c:v>
                </c:pt>
                <c:pt idx="6">
                  <c:v>0.62</c:v>
                </c:pt>
                <c:pt idx="7">
                  <c:v>0.62</c:v>
                </c:pt>
                <c:pt idx="8">
                  <c:v>0.62</c:v>
                </c:pt>
                <c:pt idx="9">
                  <c:v>0.62</c:v>
                </c:pt>
                <c:pt idx="10">
                  <c:v>0.62</c:v>
                </c:pt>
                <c:pt idx="11">
                  <c:v>0.62</c:v>
                </c:pt>
                <c:pt idx="12">
                  <c:v>0.62</c:v>
                </c:pt>
                <c:pt idx="13">
                  <c:v>0.62</c:v>
                </c:pt>
                <c:pt idx="14">
                  <c:v>0.62</c:v>
                </c:pt>
                <c:pt idx="15">
                  <c:v>0.62</c:v>
                </c:pt>
                <c:pt idx="16">
                  <c:v>0.62</c:v>
                </c:pt>
                <c:pt idx="17">
                  <c:v>0.62</c:v>
                </c:pt>
                <c:pt idx="18">
                  <c:v>0.62</c:v>
                </c:pt>
                <c:pt idx="19">
                  <c:v>0.62</c:v>
                </c:pt>
                <c:pt idx="20">
                  <c:v>0.62</c:v>
                </c:pt>
                <c:pt idx="21">
                  <c:v>0.62</c:v>
                </c:pt>
                <c:pt idx="22">
                  <c:v>0.62</c:v>
                </c:pt>
                <c:pt idx="23">
                  <c:v>0.62</c:v>
                </c:pt>
                <c:pt idx="24">
                  <c:v>0.62</c:v>
                </c:pt>
                <c:pt idx="25">
                  <c:v>0.62</c:v>
                </c:pt>
                <c:pt idx="26">
                  <c:v>0.62</c:v>
                </c:pt>
                <c:pt idx="27">
                  <c:v>0.62</c:v>
                </c:pt>
                <c:pt idx="28">
                  <c:v>0.62</c:v>
                </c:pt>
                <c:pt idx="29">
                  <c:v>0.62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C4-4EBD-9DB5-5F6028942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237792"/>
        <c:axId val="2068240288"/>
      </c:lineChart>
      <c:dateAx>
        <c:axId val="206823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40288"/>
        <c:crosses val="autoZero"/>
        <c:auto val="1"/>
        <c:lblOffset val="100"/>
        <c:baseTimeUnit val="days"/>
      </c:dateAx>
      <c:valAx>
        <c:axId val="2068240288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3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Yield C-mol_Actual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8D4-4943-8087-5038E5DF57F4}"/>
                </c:ext>
              </c:extLst>
            </c:dLbl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1AA-4BA1-B9D7-0FA9D080A20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Sheet1!$Q$3:$Q$33</c:f>
              <c:numCache>
                <c:formatCode>0.000</c:formatCode>
                <c:ptCount val="31"/>
                <c:pt idx="0">
                  <c:v>260.17161977930107</c:v>
                </c:pt>
                <c:pt idx="1">
                  <c:v>252.51908970089417</c:v>
                </c:pt>
                <c:pt idx="2">
                  <c:v>269.77128978082794</c:v>
                </c:pt>
                <c:pt idx="3">
                  <c:v>258.21884333782924</c:v>
                </c:pt>
                <c:pt idx="4">
                  <c:v>259.75080362261969</c:v>
                </c:pt>
                <c:pt idx="5">
                  <c:v>270.45471259126504</c:v>
                </c:pt>
                <c:pt idx="6">
                  <c:v>263.32369554584358</c:v>
                </c:pt>
                <c:pt idx="7">
                  <c:v>275.30080677461649</c:v>
                </c:pt>
                <c:pt idx="8">
                  <c:v>266.76726619311705</c:v>
                </c:pt>
                <c:pt idx="9">
                  <c:v>266.60607502696644</c:v>
                </c:pt>
                <c:pt idx="10">
                  <c:v>266.12522939810469</c:v>
                </c:pt>
                <c:pt idx="11">
                  <c:v>269.77562887770938</c:v>
                </c:pt>
                <c:pt idx="12">
                  <c:v>275.47907187430303</c:v>
                </c:pt>
                <c:pt idx="13">
                  <c:v>279.59324489295119</c:v>
                </c:pt>
                <c:pt idx="14">
                  <c:v>269.49708162696817</c:v>
                </c:pt>
                <c:pt idx="15">
                  <c:v>251.1117076767037</c:v>
                </c:pt>
                <c:pt idx="16">
                  <c:v>277.72915912419853</c:v>
                </c:pt>
                <c:pt idx="17">
                  <c:v>288.81641966821411</c:v>
                </c:pt>
                <c:pt idx="18">
                  <c:v>282.01197904295742</c:v>
                </c:pt>
                <c:pt idx="19">
                  <c:v>277.61989280971727</c:v>
                </c:pt>
                <c:pt idx="20">
                  <c:v>278.30228873320675</c:v>
                </c:pt>
                <c:pt idx="21">
                  <c:v>283.23652168900657</c:v>
                </c:pt>
                <c:pt idx="22">
                  <c:v>285.91837806911252</c:v>
                </c:pt>
                <c:pt idx="23">
                  <c:v>260.39590270109579</c:v>
                </c:pt>
                <c:pt idx="24">
                  <c:v>274.89029180194541</c:v>
                </c:pt>
                <c:pt idx="25">
                  <c:v>237.35913446873138</c:v>
                </c:pt>
                <c:pt idx="26">
                  <c:v>271.55730070513539</c:v>
                </c:pt>
                <c:pt idx="27">
                  <c:v>292.16331744443858</c:v>
                </c:pt>
                <c:pt idx="28">
                  <c:v>269.77576957529277</c:v>
                </c:pt>
                <c:pt idx="29">
                  <c:v>270.36315070745837</c:v>
                </c:pt>
                <c:pt idx="30">
                  <c:v>282.13568048581351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4-4943-8087-5038E5DF57F4}"/>
            </c:ext>
          </c:extLst>
        </c:ser>
        <c:ser>
          <c:idx val="1"/>
          <c:order val="1"/>
          <c:tx>
            <c:strRef>
              <c:f>Sheet1!$AB$1</c:f>
              <c:strCache>
                <c:ptCount val="1"/>
                <c:pt idx="0">
                  <c:v>Yield C-mol_Plan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1AA-4BA1-B9D7-0FA9D080A20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Sheet1!$AB$3:$AB$33</c:f>
              <c:numCache>
                <c:formatCode>General</c:formatCode>
                <c:ptCount val="31"/>
                <c:pt idx="0">
                  <c:v>264.32</c:v>
                </c:pt>
                <c:pt idx="1">
                  <c:v>264.32</c:v>
                </c:pt>
                <c:pt idx="2">
                  <c:v>264.32</c:v>
                </c:pt>
                <c:pt idx="3">
                  <c:v>264.32</c:v>
                </c:pt>
                <c:pt idx="4">
                  <c:v>264.32</c:v>
                </c:pt>
                <c:pt idx="5">
                  <c:v>264.32</c:v>
                </c:pt>
                <c:pt idx="6">
                  <c:v>264.32</c:v>
                </c:pt>
                <c:pt idx="7">
                  <c:v>264.32</c:v>
                </c:pt>
                <c:pt idx="8">
                  <c:v>264.32</c:v>
                </c:pt>
                <c:pt idx="9">
                  <c:v>264.32</c:v>
                </c:pt>
                <c:pt idx="10">
                  <c:v>264.32</c:v>
                </c:pt>
                <c:pt idx="11">
                  <c:v>264.32</c:v>
                </c:pt>
                <c:pt idx="12">
                  <c:v>264.32</c:v>
                </c:pt>
                <c:pt idx="13">
                  <c:v>264.32</c:v>
                </c:pt>
                <c:pt idx="14">
                  <c:v>264.32</c:v>
                </c:pt>
                <c:pt idx="15">
                  <c:v>264.32</c:v>
                </c:pt>
                <c:pt idx="16">
                  <c:v>264.32</c:v>
                </c:pt>
                <c:pt idx="17">
                  <c:v>264.32</c:v>
                </c:pt>
                <c:pt idx="18">
                  <c:v>264.32</c:v>
                </c:pt>
                <c:pt idx="19">
                  <c:v>264.32</c:v>
                </c:pt>
                <c:pt idx="20">
                  <c:v>264.32</c:v>
                </c:pt>
                <c:pt idx="21">
                  <c:v>264.32</c:v>
                </c:pt>
                <c:pt idx="22">
                  <c:v>264.32</c:v>
                </c:pt>
                <c:pt idx="23">
                  <c:v>264.32</c:v>
                </c:pt>
                <c:pt idx="24">
                  <c:v>264.32</c:v>
                </c:pt>
                <c:pt idx="25">
                  <c:v>264.32</c:v>
                </c:pt>
                <c:pt idx="26">
                  <c:v>264.32</c:v>
                </c:pt>
                <c:pt idx="27">
                  <c:v>264.32</c:v>
                </c:pt>
                <c:pt idx="28">
                  <c:v>264.32</c:v>
                </c:pt>
                <c:pt idx="29">
                  <c:v>264.32</c:v>
                </c:pt>
                <c:pt idx="30">
                  <c:v>264.32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4-4943-8087-5038E5DF57F4}"/>
            </c:ext>
          </c:extLst>
        </c:ser>
        <c:ser>
          <c:idx val="2"/>
          <c:order val="2"/>
          <c:tx>
            <c:strRef>
              <c:f>Sheet1!$R$1</c:f>
              <c:strCache>
                <c:ptCount val="1"/>
                <c:pt idx="0">
                  <c:v>Yield B-mol_Actual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AA-4BA1-B9D7-0FA9D080A20B}"/>
                </c:ext>
              </c:extLst>
            </c:dLbl>
            <c:dLbl>
              <c:idx val="30"/>
              <c:layout>
                <c:manualLayout>
                  <c:x val="-3.5706170746075426E-2"/>
                  <c:y val="-9.31072677113677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AA-4BA1-B9D7-0FA9D080A20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Sheet1!$R$3:$R$33</c:f>
              <c:numCache>
                <c:formatCode>0.000</c:formatCode>
                <c:ptCount val="31"/>
                <c:pt idx="0">
                  <c:v>353.57924185366409</c:v>
                </c:pt>
                <c:pt idx="1">
                  <c:v>352.09732747040454</c:v>
                </c:pt>
                <c:pt idx="2">
                  <c:v>376.23922785877005</c:v>
                </c:pt>
                <c:pt idx="3">
                  <c:v>361.88940313827572</c:v>
                </c:pt>
                <c:pt idx="4">
                  <c:v>362.2951921412099</c:v>
                </c:pt>
                <c:pt idx="5">
                  <c:v>374.33368591752867</c:v>
                </c:pt>
                <c:pt idx="6">
                  <c:v>347.147973404754</c:v>
                </c:pt>
                <c:pt idx="7">
                  <c:v>340.0399209846978</c:v>
                </c:pt>
                <c:pt idx="8">
                  <c:v>327.90481531828215</c:v>
                </c:pt>
                <c:pt idx="9">
                  <c:v>325.3211795175099</c:v>
                </c:pt>
                <c:pt idx="10">
                  <c:v>329.0023725097754</c:v>
                </c:pt>
                <c:pt idx="11">
                  <c:v>330.28810624444446</c:v>
                </c:pt>
                <c:pt idx="12">
                  <c:v>336.99326486645498</c:v>
                </c:pt>
                <c:pt idx="13">
                  <c:v>346.48530614773131</c:v>
                </c:pt>
                <c:pt idx="14">
                  <c:v>328.38174185311033</c:v>
                </c:pt>
                <c:pt idx="15">
                  <c:v>305.21429979841525</c:v>
                </c:pt>
                <c:pt idx="16">
                  <c:v>341.47979539893413</c:v>
                </c:pt>
                <c:pt idx="17">
                  <c:v>343.47857356647694</c:v>
                </c:pt>
                <c:pt idx="18">
                  <c:v>328.98691417151463</c:v>
                </c:pt>
                <c:pt idx="19">
                  <c:v>329.18886152389831</c:v>
                </c:pt>
                <c:pt idx="20">
                  <c:v>326.00685845992632</c:v>
                </c:pt>
                <c:pt idx="21">
                  <c:v>332.94057670134004</c:v>
                </c:pt>
                <c:pt idx="22">
                  <c:v>333.49960247299856</c:v>
                </c:pt>
                <c:pt idx="23">
                  <c:v>304.66932796485514</c:v>
                </c:pt>
                <c:pt idx="24">
                  <c:v>323.22500530538349</c:v>
                </c:pt>
                <c:pt idx="25">
                  <c:v>279.57182622239338</c:v>
                </c:pt>
                <c:pt idx="26">
                  <c:v>317.0932017087888</c:v>
                </c:pt>
                <c:pt idx="27">
                  <c:v>343.94880438026064</c:v>
                </c:pt>
                <c:pt idx="28">
                  <c:v>317.74386194462744</c:v>
                </c:pt>
                <c:pt idx="29">
                  <c:v>316.75612638485643</c:v>
                </c:pt>
                <c:pt idx="30">
                  <c:v>332.64469427033072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D4-4943-8087-5038E5DF57F4}"/>
            </c:ext>
          </c:extLst>
        </c:ser>
        <c:ser>
          <c:idx val="3"/>
          <c:order val="3"/>
          <c:tx>
            <c:strRef>
              <c:f>Sheet1!$AC$1</c:f>
              <c:strCache>
                <c:ptCount val="1"/>
                <c:pt idx="0">
                  <c:v>Yield B-mol_Plan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AA-4BA1-B9D7-0FA9D080A20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Sheet1!$AC$3:$AC$33</c:f>
              <c:numCache>
                <c:formatCode>General</c:formatCode>
                <c:ptCount val="31"/>
                <c:pt idx="0">
                  <c:v>323.33999999999997</c:v>
                </c:pt>
                <c:pt idx="1">
                  <c:v>323.33999999999997</c:v>
                </c:pt>
                <c:pt idx="2">
                  <c:v>323.33999999999997</c:v>
                </c:pt>
                <c:pt idx="3">
                  <c:v>323.33999999999997</c:v>
                </c:pt>
                <c:pt idx="4">
                  <c:v>323.33999999999997</c:v>
                </c:pt>
                <c:pt idx="5">
                  <c:v>323.33999999999997</c:v>
                </c:pt>
                <c:pt idx="6">
                  <c:v>323.33999999999997</c:v>
                </c:pt>
                <c:pt idx="7">
                  <c:v>323.33999999999997</c:v>
                </c:pt>
                <c:pt idx="8">
                  <c:v>323.33999999999997</c:v>
                </c:pt>
                <c:pt idx="9">
                  <c:v>323.33999999999997</c:v>
                </c:pt>
                <c:pt idx="10">
                  <c:v>323.33999999999997</c:v>
                </c:pt>
                <c:pt idx="11">
                  <c:v>323.33999999999997</c:v>
                </c:pt>
                <c:pt idx="12">
                  <c:v>323.33999999999997</c:v>
                </c:pt>
                <c:pt idx="13">
                  <c:v>323.33999999999997</c:v>
                </c:pt>
                <c:pt idx="14">
                  <c:v>323.33999999999997</c:v>
                </c:pt>
                <c:pt idx="15">
                  <c:v>323.33999999999997</c:v>
                </c:pt>
                <c:pt idx="16">
                  <c:v>323.33999999999997</c:v>
                </c:pt>
                <c:pt idx="17">
                  <c:v>323.33999999999997</c:v>
                </c:pt>
                <c:pt idx="18">
                  <c:v>323.33999999999997</c:v>
                </c:pt>
                <c:pt idx="19">
                  <c:v>323.33999999999997</c:v>
                </c:pt>
                <c:pt idx="20">
                  <c:v>323.33999999999997</c:v>
                </c:pt>
                <c:pt idx="21">
                  <c:v>323.33999999999997</c:v>
                </c:pt>
                <c:pt idx="22">
                  <c:v>323.33999999999997</c:v>
                </c:pt>
                <c:pt idx="23">
                  <c:v>323.33999999999997</c:v>
                </c:pt>
                <c:pt idx="24">
                  <c:v>323.33999999999997</c:v>
                </c:pt>
                <c:pt idx="25">
                  <c:v>323.33999999999997</c:v>
                </c:pt>
                <c:pt idx="26">
                  <c:v>323.33999999999997</c:v>
                </c:pt>
                <c:pt idx="27">
                  <c:v>323.33999999999997</c:v>
                </c:pt>
                <c:pt idx="28">
                  <c:v>323.33999999999997</c:v>
                </c:pt>
                <c:pt idx="29">
                  <c:v>323.33999999999997</c:v>
                </c:pt>
                <c:pt idx="30">
                  <c:v>323.33999999999997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8D4-4943-8087-5038E5DF5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62560"/>
        <c:axId val="198568384"/>
      </c:lineChart>
      <c:dateAx>
        <c:axId val="1985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8384"/>
        <c:crosses val="autoZero"/>
        <c:auto val="1"/>
        <c:lblOffset val="100"/>
        <c:baseTimeUnit val="days"/>
      </c:dateAx>
      <c:valAx>
        <c:axId val="198568384"/>
        <c:scaling>
          <c:orientation val="minMax"/>
          <c:min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%FS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%FS C-mol_Actual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48A3-4227-866C-E3F61A29B8C1}"/>
                </c:ext>
              </c:extLst>
            </c:dLbl>
            <c:dLbl>
              <c:idx val="3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48A3-4227-866C-E3F61A29B8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Sheet1!$H$3:$H$33</c:f>
              <c:numCache>
                <c:formatCode>0.00</c:formatCode>
                <c:ptCount val="31"/>
                <c:pt idx="0">
                  <c:v>41.949821472167969</c:v>
                </c:pt>
                <c:pt idx="1">
                  <c:v>41.690151214599609</c:v>
                </c:pt>
                <c:pt idx="2">
                  <c:v>41.909832000732422</c:v>
                </c:pt>
                <c:pt idx="3">
                  <c:v>41.670101165771484</c:v>
                </c:pt>
                <c:pt idx="4">
                  <c:v>41.820026397705078</c:v>
                </c:pt>
                <c:pt idx="5">
                  <c:v>41.861141204833984</c:v>
                </c:pt>
                <c:pt idx="6">
                  <c:v>43.500679016113281</c:v>
                </c:pt>
                <c:pt idx="7">
                  <c:v>44.479804992675781</c:v>
                </c:pt>
                <c:pt idx="8">
                  <c:v>44.200145721435547</c:v>
                </c:pt>
                <c:pt idx="9">
                  <c:v>44.409904479980469</c:v>
                </c:pt>
                <c:pt idx="10">
                  <c:v>44.270339965820313</c:v>
                </c:pt>
                <c:pt idx="11">
                  <c:v>44.760047912597656</c:v>
                </c:pt>
                <c:pt idx="12">
                  <c:v>44.829750061035156</c:v>
                </c:pt>
                <c:pt idx="13">
                  <c:v>44.470424652099609</c:v>
                </c:pt>
                <c:pt idx="14">
                  <c:v>45.079994201660156</c:v>
                </c:pt>
                <c:pt idx="15">
                  <c:v>45.069465637207031</c:v>
                </c:pt>
                <c:pt idx="16">
                  <c:v>44.300716400146484</c:v>
                </c:pt>
                <c:pt idx="17">
                  <c:v>45.330253601074219</c:v>
                </c:pt>
                <c:pt idx="18">
                  <c:v>45.690269470214844</c:v>
                </c:pt>
                <c:pt idx="19">
                  <c:v>46.079967498779297</c:v>
                </c:pt>
                <c:pt idx="20">
                  <c:v>46.029769897460938</c:v>
                </c:pt>
                <c:pt idx="21">
                  <c:v>45.700187683105469</c:v>
                </c:pt>
                <c:pt idx="22">
                  <c:v>45.970180511474609</c:v>
                </c:pt>
                <c:pt idx="23">
                  <c:v>46.229846954345703</c:v>
                </c:pt>
                <c:pt idx="24">
                  <c:v>46.010025024414063</c:v>
                </c:pt>
                <c:pt idx="25">
                  <c:v>46.050075531005859</c:v>
                </c:pt>
                <c:pt idx="26">
                  <c:v>46.159992218017578</c:v>
                </c:pt>
                <c:pt idx="27">
                  <c:v>46.149940490722656</c:v>
                </c:pt>
                <c:pt idx="28">
                  <c:v>46.059986114501953</c:v>
                </c:pt>
                <c:pt idx="29">
                  <c:v>46.039680480957031</c:v>
                </c:pt>
                <c:pt idx="30">
                  <c:v>45.579944610595703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1-49AE-BFF4-125512BF9410}"/>
            </c:ext>
          </c:extLst>
        </c:ser>
        <c:ser>
          <c:idx val="1"/>
          <c:order val="1"/>
          <c:tx>
            <c:strRef>
              <c:f>Sheet1!$AD$1</c:f>
              <c:strCache>
                <c:ptCount val="1"/>
                <c:pt idx="0">
                  <c:v>%FS C-mol_Plan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48A3-4227-866C-E3F61A29B8C1}"/>
                </c:ext>
              </c:extLst>
            </c:dLbl>
            <c:dLbl>
              <c:idx val="3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48A3-4227-866C-E3F61A29B8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Sheet1!$AD$3:$AD$33</c:f>
              <c:numCache>
                <c:formatCode>General</c:formatCode>
                <c:ptCount val="31"/>
                <c:pt idx="0">
                  <c:v>44.27</c:v>
                </c:pt>
                <c:pt idx="1">
                  <c:v>44.27</c:v>
                </c:pt>
                <c:pt idx="2">
                  <c:v>44.27</c:v>
                </c:pt>
                <c:pt idx="3">
                  <c:v>44.27</c:v>
                </c:pt>
                <c:pt idx="4">
                  <c:v>44.27</c:v>
                </c:pt>
                <c:pt idx="5">
                  <c:v>44.27</c:v>
                </c:pt>
                <c:pt idx="6">
                  <c:v>44.27</c:v>
                </c:pt>
                <c:pt idx="7">
                  <c:v>44.27</c:v>
                </c:pt>
                <c:pt idx="8">
                  <c:v>44.27</c:v>
                </c:pt>
                <c:pt idx="9">
                  <c:v>44.27</c:v>
                </c:pt>
                <c:pt idx="10">
                  <c:v>44.27</c:v>
                </c:pt>
                <c:pt idx="11">
                  <c:v>44.27</c:v>
                </c:pt>
                <c:pt idx="12">
                  <c:v>44.27</c:v>
                </c:pt>
                <c:pt idx="13">
                  <c:v>44.27</c:v>
                </c:pt>
                <c:pt idx="14">
                  <c:v>44.27</c:v>
                </c:pt>
                <c:pt idx="15">
                  <c:v>44.27</c:v>
                </c:pt>
                <c:pt idx="16">
                  <c:v>44.27</c:v>
                </c:pt>
                <c:pt idx="17">
                  <c:v>44.27</c:v>
                </c:pt>
                <c:pt idx="18">
                  <c:v>44.27</c:v>
                </c:pt>
                <c:pt idx="19">
                  <c:v>44.27</c:v>
                </c:pt>
                <c:pt idx="20">
                  <c:v>44.27</c:v>
                </c:pt>
                <c:pt idx="21">
                  <c:v>44.27</c:v>
                </c:pt>
                <c:pt idx="22">
                  <c:v>44.27</c:v>
                </c:pt>
                <c:pt idx="23">
                  <c:v>44.27</c:v>
                </c:pt>
                <c:pt idx="24">
                  <c:v>44.27</c:v>
                </c:pt>
                <c:pt idx="25">
                  <c:v>44.27</c:v>
                </c:pt>
                <c:pt idx="26">
                  <c:v>44.27</c:v>
                </c:pt>
                <c:pt idx="27">
                  <c:v>44.27</c:v>
                </c:pt>
                <c:pt idx="28">
                  <c:v>44.27</c:v>
                </c:pt>
                <c:pt idx="29">
                  <c:v>44.27</c:v>
                </c:pt>
                <c:pt idx="30">
                  <c:v>44.27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41-49AE-BFF4-125512BF9410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%FS B-mol_Actual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8A3-4227-866C-E3F61A29B8C1}"/>
                </c:ext>
              </c:extLst>
            </c:dLbl>
            <c:dLbl>
              <c:idx val="3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8A3-4227-866C-E3F61A29B8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Sheet1!$I$3:$I$33</c:f>
              <c:numCache>
                <c:formatCode>0.00</c:formatCode>
                <c:ptCount val="31"/>
                <c:pt idx="0">
                  <c:v>57.010776519775391</c:v>
                </c:pt>
                <c:pt idx="1">
                  <c:v>58.130222320556641</c:v>
                </c:pt>
                <c:pt idx="2">
                  <c:v>58.449966430664063</c:v>
                </c:pt>
                <c:pt idx="3">
                  <c:v>58.399951934814453</c:v>
                </c:pt>
                <c:pt idx="4">
                  <c:v>58.329730987548828</c:v>
                </c:pt>
                <c:pt idx="5">
                  <c:v>57.939590454101563</c:v>
                </c:pt>
                <c:pt idx="6">
                  <c:v>57.348323822021484</c:v>
                </c:pt>
                <c:pt idx="7">
                  <c:v>54.9395751953125</c:v>
                </c:pt>
                <c:pt idx="8">
                  <c:v>54.329906463623047</c:v>
                </c:pt>
                <c:pt idx="9">
                  <c:v>54.190372467041016</c:v>
                </c:pt>
                <c:pt idx="10">
                  <c:v>54.730049133300781</c:v>
                </c:pt>
                <c:pt idx="11">
                  <c:v>54.800025939941406</c:v>
                </c:pt>
                <c:pt idx="12">
                  <c:v>54.840187072753906</c:v>
                </c:pt>
                <c:pt idx="13">
                  <c:v>55.109874725341797</c:v>
                </c:pt>
                <c:pt idx="14">
                  <c:v>54.929897308349609</c:v>
                </c:pt>
                <c:pt idx="15">
                  <c:v>54.77978515625</c:v>
                </c:pt>
                <c:pt idx="16">
                  <c:v>54.469612121582031</c:v>
                </c:pt>
                <c:pt idx="17">
                  <c:v>53.909576416015625</c:v>
                </c:pt>
                <c:pt idx="18">
                  <c:v>53.300930023193359</c:v>
                </c:pt>
                <c:pt idx="19">
                  <c:v>54.639499664306641</c:v>
                </c:pt>
                <c:pt idx="20">
                  <c:v>53.91986083984375</c:v>
                </c:pt>
                <c:pt idx="21">
                  <c:v>53.719932556152344</c:v>
                </c:pt>
                <c:pt idx="22">
                  <c:v>53.620326995849609</c:v>
                </c:pt>
                <c:pt idx="23">
                  <c:v>54.090007781982422</c:v>
                </c:pt>
                <c:pt idx="24">
                  <c:v>54.100093841552734</c:v>
                </c:pt>
                <c:pt idx="25">
                  <c:v>54.239765167236328</c:v>
                </c:pt>
                <c:pt idx="26">
                  <c:v>53.900299072265625</c:v>
                </c:pt>
                <c:pt idx="27">
                  <c:v>54.329944610595703</c:v>
                </c:pt>
                <c:pt idx="28">
                  <c:v>54.249786376953125</c:v>
                </c:pt>
                <c:pt idx="29">
                  <c:v>53.939861297607422</c:v>
                </c:pt>
                <c:pt idx="30">
                  <c:v>53.739841461181641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41-49AE-BFF4-125512BF9410}"/>
            </c:ext>
          </c:extLst>
        </c:ser>
        <c:ser>
          <c:idx val="3"/>
          <c:order val="3"/>
          <c:tx>
            <c:strRef>
              <c:f>Sheet1!$AE$1</c:f>
              <c:strCache>
                <c:ptCount val="1"/>
                <c:pt idx="0">
                  <c:v>%FS B-mol_Plan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48A3-4227-866C-E3F61A29B8C1}"/>
                </c:ext>
              </c:extLst>
            </c:dLbl>
            <c:dLbl>
              <c:idx val="3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48A3-4227-866C-E3F61A29B8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Sheet1!$AE$3:$AE$33</c:f>
              <c:numCache>
                <c:formatCode>General</c:formatCode>
                <c:ptCount val="31"/>
                <c:pt idx="0">
                  <c:v>52.51</c:v>
                </c:pt>
                <c:pt idx="1">
                  <c:v>52.51</c:v>
                </c:pt>
                <c:pt idx="2">
                  <c:v>52.51</c:v>
                </c:pt>
                <c:pt idx="3">
                  <c:v>52.51</c:v>
                </c:pt>
                <c:pt idx="4">
                  <c:v>52.51</c:v>
                </c:pt>
                <c:pt idx="5">
                  <c:v>52.51</c:v>
                </c:pt>
                <c:pt idx="6">
                  <c:v>52.51</c:v>
                </c:pt>
                <c:pt idx="7">
                  <c:v>52.51</c:v>
                </c:pt>
                <c:pt idx="8">
                  <c:v>52.51</c:v>
                </c:pt>
                <c:pt idx="9">
                  <c:v>52.51</c:v>
                </c:pt>
                <c:pt idx="10">
                  <c:v>52.51</c:v>
                </c:pt>
                <c:pt idx="11">
                  <c:v>52.51</c:v>
                </c:pt>
                <c:pt idx="12">
                  <c:v>52.51</c:v>
                </c:pt>
                <c:pt idx="13">
                  <c:v>52.51</c:v>
                </c:pt>
                <c:pt idx="14">
                  <c:v>52.51</c:v>
                </c:pt>
                <c:pt idx="15">
                  <c:v>52.51</c:v>
                </c:pt>
                <c:pt idx="16">
                  <c:v>52.51</c:v>
                </c:pt>
                <c:pt idx="17">
                  <c:v>52.51</c:v>
                </c:pt>
                <c:pt idx="18">
                  <c:v>52.51</c:v>
                </c:pt>
                <c:pt idx="19">
                  <c:v>52.51</c:v>
                </c:pt>
                <c:pt idx="20">
                  <c:v>52.51</c:v>
                </c:pt>
                <c:pt idx="21">
                  <c:v>52.51</c:v>
                </c:pt>
                <c:pt idx="22">
                  <c:v>52.51</c:v>
                </c:pt>
                <c:pt idx="23">
                  <c:v>52.51</c:v>
                </c:pt>
                <c:pt idx="24">
                  <c:v>52.51</c:v>
                </c:pt>
                <c:pt idx="25">
                  <c:v>52.51</c:v>
                </c:pt>
                <c:pt idx="26">
                  <c:v>52.51</c:v>
                </c:pt>
                <c:pt idx="27">
                  <c:v>52.51</c:v>
                </c:pt>
                <c:pt idx="28">
                  <c:v>52.51</c:v>
                </c:pt>
                <c:pt idx="29">
                  <c:v>52.51</c:v>
                </c:pt>
                <c:pt idx="30">
                  <c:v>52.51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41-49AE-BFF4-125512BF9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66720"/>
        <c:axId val="198555904"/>
      </c:lineChart>
      <c:dateAx>
        <c:axId val="19856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55904"/>
        <c:crosses val="autoZero"/>
        <c:auto val="1"/>
        <c:lblOffset val="100"/>
        <c:baseTimeUnit val="days"/>
      </c:dateAx>
      <c:valAx>
        <c:axId val="19855590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99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Vinasses</a:t>
            </a:r>
            <a:r>
              <a:rPr lang="en-US" baseline="0"/>
              <a:t> Volume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Vinasses_Actual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C4-45AB-8B58-07FEC847C1C3}"/>
                </c:ext>
              </c:extLst>
            </c:dLbl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C4-45AB-8B58-07FEC847C1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Sheet1!$L$3:$L$33</c:f>
              <c:numCache>
                <c:formatCode>0.00</c:formatCode>
                <c:ptCount val="31"/>
                <c:pt idx="0">
                  <c:v>1273.781494140625</c:v>
                </c:pt>
                <c:pt idx="1">
                  <c:v>1246.9927978515625</c:v>
                </c:pt>
                <c:pt idx="2">
                  <c:v>1236.6177978515625</c:v>
                </c:pt>
                <c:pt idx="3">
                  <c:v>1262.181640625</c:v>
                </c:pt>
                <c:pt idx="4">
                  <c:v>1235.9224853515625</c:v>
                </c:pt>
                <c:pt idx="5">
                  <c:v>1268.28125</c:v>
                </c:pt>
                <c:pt idx="6">
                  <c:v>1241.25244140625</c:v>
                </c:pt>
                <c:pt idx="7">
                  <c:v>1172.5621337890625</c:v>
                </c:pt>
                <c:pt idx="8">
                  <c:v>974.44586181640625</c:v>
                </c:pt>
                <c:pt idx="9">
                  <c:v>1328.22265625</c:v>
                </c:pt>
                <c:pt idx="10">
                  <c:v>1360.9586181640625</c:v>
                </c:pt>
                <c:pt idx="11">
                  <c:v>1445.2359619140625</c:v>
                </c:pt>
                <c:pt idx="12">
                  <c:v>1496.99658203125</c:v>
                </c:pt>
                <c:pt idx="13">
                  <c:v>1492.1351318359375</c:v>
                </c:pt>
                <c:pt idx="14">
                  <c:v>1542.6734619140625</c:v>
                </c:pt>
                <c:pt idx="15">
                  <c:v>1360.6451416015625</c:v>
                </c:pt>
                <c:pt idx="16">
                  <c:v>1425.6099853515625</c:v>
                </c:pt>
                <c:pt idx="17">
                  <c:v>1440.0400390625</c:v>
                </c:pt>
                <c:pt idx="18">
                  <c:v>1497.8231201171875</c:v>
                </c:pt>
                <c:pt idx="19">
                  <c:v>1818.9306640625</c:v>
                </c:pt>
                <c:pt idx="20">
                  <c:v>1862.9642333984375</c:v>
                </c:pt>
                <c:pt idx="21">
                  <c:v>1667.2366943359375</c:v>
                </c:pt>
                <c:pt idx="22">
                  <c:v>1144.538818359375</c:v>
                </c:pt>
                <c:pt idx="23">
                  <c:v>1344.4490966796875</c:v>
                </c:pt>
                <c:pt idx="24">
                  <c:v>1558.9752197265625</c:v>
                </c:pt>
                <c:pt idx="25">
                  <c:v>1523.3798828125</c:v>
                </c:pt>
                <c:pt idx="26">
                  <c:v>1638.3114013671875</c:v>
                </c:pt>
                <c:pt idx="27">
                  <c:v>1655.1181640625</c:v>
                </c:pt>
                <c:pt idx="28">
                  <c:v>2400.794189453125</c:v>
                </c:pt>
                <c:pt idx="29">
                  <c:v>2391.98095703125</c:v>
                </c:pt>
                <c:pt idx="30">
                  <c:v>1644.8890380859375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A-4525-AC86-1EC876169D05}"/>
            </c:ext>
          </c:extLst>
        </c:ser>
        <c:ser>
          <c:idx val="1"/>
          <c:order val="1"/>
          <c:tx>
            <c:strRef>
              <c:f>Sheet1!$AF$1</c:f>
              <c:strCache>
                <c:ptCount val="1"/>
                <c:pt idx="0">
                  <c:v>Vinasses_Plan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C4-45AB-8B58-07FEC847C1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Sheet1!$AF$3:$AF$33</c:f>
              <c:numCache>
                <c:formatCode>General</c:formatCode>
                <c:ptCount val="31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1400</c:v>
                </c:pt>
                <c:pt idx="4">
                  <c:v>1400</c:v>
                </c:pt>
                <c:pt idx="5">
                  <c:v>1400</c:v>
                </c:pt>
                <c:pt idx="6">
                  <c:v>1400</c:v>
                </c:pt>
                <c:pt idx="7">
                  <c:v>1400</c:v>
                </c:pt>
                <c:pt idx="8">
                  <c:v>1400</c:v>
                </c:pt>
                <c:pt idx="9">
                  <c:v>1400</c:v>
                </c:pt>
                <c:pt idx="10">
                  <c:v>1400</c:v>
                </c:pt>
                <c:pt idx="11">
                  <c:v>1400</c:v>
                </c:pt>
                <c:pt idx="12">
                  <c:v>1400</c:v>
                </c:pt>
                <c:pt idx="13">
                  <c:v>1400</c:v>
                </c:pt>
                <c:pt idx="14">
                  <c:v>1400</c:v>
                </c:pt>
                <c:pt idx="15">
                  <c:v>1400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1400</c:v>
                </c:pt>
                <c:pt idx="21">
                  <c:v>1400</c:v>
                </c:pt>
                <c:pt idx="22">
                  <c:v>1400</c:v>
                </c:pt>
                <c:pt idx="23">
                  <c:v>1400</c:v>
                </c:pt>
                <c:pt idx="24">
                  <c:v>1400</c:v>
                </c:pt>
                <c:pt idx="25">
                  <c:v>1400</c:v>
                </c:pt>
                <c:pt idx="26">
                  <c:v>1400</c:v>
                </c:pt>
                <c:pt idx="27">
                  <c:v>1400</c:v>
                </c:pt>
                <c:pt idx="28">
                  <c:v>1400</c:v>
                </c:pt>
                <c:pt idx="29">
                  <c:v>1400</c:v>
                </c:pt>
                <c:pt idx="30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A-4525-AC86-1EC876169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66720"/>
        <c:axId val="198555904"/>
      </c:lineChart>
      <c:dateAx>
        <c:axId val="19856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55904"/>
        <c:crosses val="autoZero"/>
        <c:auto val="1"/>
        <c:lblOffset val="100"/>
        <c:baseTimeUnit val="days"/>
      </c:dateAx>
      <c:valAx>
        <c:axId val="198555904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Vinasses</a:t>
            </a:r>
            <a:r>
              <a:rPr lang="en-US" baseline="0"/>
              <a:t> Sale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Vinasses Sale_Actual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DA2-42C6-9491-EA0926A527DF}"/>
                </c:ext>
              </c:extLst>
            </c:dLbl>
            <c:dLbl>
              <c:idx val="3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A28-4297-AE44-C665D87E78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Sheet1!$M$3:$M$33</c:f>
              <c:numCache>
                <c:formatCode>0.00</c:formatCode>
                <c:ptCount val="31"/>
                <c:pt idx="0">
                  <c:v>0.45993053913116455</c:v>
                </c:pt>
                <c:pt idx="1">
                  <c:v>662.946044921875</c:v>
                </c:pt>
                <c:pt idx="2">
                  <c:v>1592.5013427734375</c:v>
                </c:pt>
                <c:pt idx="3">
                  <c:v>1407.069580078125</c:v>
                </c:pt>
                <c:pt idx="4">
                  <c:v>1075.1973876953125</c:v>
                </c:pt>
                <c:pt idx="5">
                  <c:v>869.739990234375</c:v>
                </c:pt>
                <c:pt idx="6">
                  <c:v>538.88287353515625</c:v>
                </c:pt>
                <c:pt idx="7">
                  <c:v>629.27850341796875</c:v>
                </c:pt>
                <c:pt idx="8">
                  <c:v>569.610595703125</c:v>
                </c:pt>
                <c:pt idx="9">
                  <c:v>613.49969482421875</c:v>
                </c:pt>
                <c:pt idx="10">
                  <c:v>411.58599853515625</c:v>
                </c:pt>
                <c:pt idx="11">
                  <c:v>391.47308349609375</c:v>
                </c:pt>
                <c:pt idx="12">
                  <c:v>439.02761840820313</c:v>
                </c:pt>
                <c:pt idx="13">
                  <c:v>363.65777587890625</c:v>
                </c:pt>
                <c:pt idx="14">
                  <c:v>317.32333374023438</c:v>
                </c:pt>
                <c:pt idx="15">
                  <c:v>394.0657958984375</c:v>
                </c:pt>
                <c:pt idx="16">
                  <c:v>344.75567626953125</c:v>
                </c:pt>
                <c:pt idx="17">
                  <c:v>252.32659912109375</c:v>
                </c:pt>
                <c:pt idx="18">
                  <c:v>477.59835815429688</c:v>
                </c:pt>
                <c:pt idx="19">
                  <c:v>374.48971557617188</c:v>
                </c:pt>
                <c:pt idx="20">
                  <c:v>402.97894287109375</c:v>
                </c:pt>
                <c:pt idx="21">
                  <c:v>588.73040771484375</c:v>
                </c:pt>
                <c:pt idx="22">
                  <c:v>862.70111083984375</c:v>
                </c:pt>
                <c:pt idx="23">
                  <c:v>792.333984375</c:v>
                </c:pt>
                <c:pt idx="24">
                  <c:v>726.264404296875</c:v>
                </c:pt>
                <c:pt idx="25">
                  <c:v>905.1328125</c:v>
                </c:pt>
                <c:pt idx="26">
                  <c:v>764.938720703125</c:v>
                </c:pt>
                <c:pt idx="27">
                  <c:v>259.5611572265625</c:v>
                </c:pt>
                <c:pt idx="28">
                  <c:v>376.35311889648438</c:v>
                </c:pt>
                <c:pt idx="29">
                  <c:v>438.38015747070313</c:v>
                </c:pt>
                <c:pt idx="30">
                  <c:v>395.83279418945313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4B-4CEF-B859-2B9AD4F7A0D0}"/>
            </c:ext>
          </c:extLst>
        </c:ser>
        <c:ser>
          <c:idx val="1"/>
          <c:order val="1"/>
          <c:tx>
            <c:strRef>
              <c:f>Sheet1!$AG$1</c:f>
              <c:strCache>
                <c:ptCount val="1"/>
                <c:pt idx="0">
                  <c:v>Vinasses Sale_Plan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A28-4297-AE44-C665D87E781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Sheet1!$AG$3:$AG$33</c:f>
              <c:numCache>
                <c:formatCode>General</c:formatCode>
                <c:ptCount val="31"/>
                <c:pt idx="0">
                  <c:v>1667</c:v>
                </c:pt>
                <c:pt idx="1">
                  <c:v>1667</c:v>
                </c:pt>
                <c:pt idx="2">
                  <c:v>1667</c:v>
                </c:pt>
                <c:pt idx="3">
                  <c:v>1667</c:v>
                </c:pt>
                <c:pt idx="4">
                  <c:v>1667</c:v>
                </c:pt>
                <c:pt idx="5">
                  <c:v>1667</c:v>
                </c:pt>
                <c:pt idx="6">
                  <c:v>1667</c:v>
                </c:pt>
                <c:pt idx="7">
                  <c:v>1667</c:v>
                </c:pt>
                <c:pt idx="8">
                  <c:v>1667</c:v>
                </c:pt>
                <c:pt idx="9">
                  <c:v>1667</c:v>
                </c:pt>
                <c:pt idx="10">
                  <c:v>1667</c:v>
                </c:pt>
                <c:pt idx="11">
                  <c:v>1667</c:v>
                </c:pt>
                <c:pt idx="12">
                  <c:v>1667</c:v>
                </c:pt>
                <c:pt idx="13">
                  <c:v>1667</c:v>
                </c:pt>
                <c:pt idx="14">
                  <c:v>1667</c:v>
                </c:pt>
                <c:pt idx="15">
                  <c:v>1667</c:v>
                </c:pt>
                <c:pt idx="16">
                  <c:v>1667</c:v>
                </c:pt>
                <c:pt idx="17">
                  <c:v>1667</c:v>
                </c:pt>
                <c:pt idx="18">
                  <c:v>1667</c:v>
                </c:pt>
                <c:pt idx="19">
                  <c:v>1667</c:v>
                </c:pt>
                <c:pt idx="20">
                  <c:v>1667</c:v>
                </c:pt>
                <c:pt idx="21">
                  <c:v>1667</c:v>
                </c:pt>
                <c:pt idx="22">
                  <c:v>1667</c:v>
                </c:pt>
                <c:pt idx="23">
                  <c:v>1667</c:v>
                </c:pt>
                <c:pt idx="24">
                  <c:v>1667</c:v>
                </c:pt>
                <c:pt idx="25">
                  <c:v>1667</c:v>
                </c:pt>
                <c:pt idx="26">
                  <c:v>1667</c:v>
                </c:pt>
                <c:pt idx="27">
                  <c:v>1667</c:v>
                </c:pt>
                <c:pt idx="28">
                  <c:v>1667</c:v>
                </c:pt>
                <c:pt idx="29">
                  <c:v>1667</c:v>
                </c:pt>
                <c:pt idx="30">
                  <c:v>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4B-4CEF-B859-2B9AD4F7A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66720"/>
        <c:axId val="198555904"/>
      </c:lineChart>
      <c:dateAx>
        <c:axId val="19856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55904"/>
        <c:crosses val="autoZero"/>
        <c:auto val="1"/>
        <c:lblOffset val="100"/>
        <c:baseTimeUnit val="days"/>
      </c:dateAx>
      <c:valAx>
        <c:axId val="1985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Ethanol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Ethanol_Actual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3E-4A56-8161-D7588DDD0A4F}"/>
                </c:ext>
              </c:extLst>
            </c:dLbl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EE-450F-85DF-EE616CFE4B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Sheet1!$X$3:$X$33</c:f>
              <c:numCache>
                <c:formatCode>0</c:formatCode>
                <c:ptCount val="31"/>
                <c:pt idx="0">
                  <c:v>253350.12109375</c:v>
                </c:pt>
                <c:pt idx="1">
                  <c:v>252083.78125</c:v>
                </c:pt>
                <c:pt idx="2">
                  <c:v>253216.859375</c:v>
                </c:pt>
                <c:pt idx="3">
                  <c:v>255897.734375</c:v>
                </c:pt>
                <c:pt idx="4">
                  <c:v>254078.6953125</c:v>
                </c:pt>
                <c:pt idx="5">
                  <c:v>256506.8984375</c:v>
                </c:pt>
                <c:pt idx="6">
                  <c:v>253488.83984375</c:v>
                </c:pt>
                <c:pt idx="7">
                  <c:v>251812.33203125</c:v>
                </c:pt>
                <c:pt idx="8">
                  <c:v>252286.03125</c:v>
                </c:pt>
                <c:pt idx="9">
                  <c:v>249466.3125</c:v>
                </c:pt>
                <c:pt idx="10">
                  <c:v>254242.64453125</c:v>
                </c:pt>
                <c:pt idx="11">
                  <c:v>255170.90625</c:v>
                </c:pt>
                <c:pt idx="12">
                  <c:v>253600.796875</c:v>
                </c:pt>
                <c:pt idx="13">
                  <c:v>251874.10546875</c:v>
                </c:pt>
                <c:pt idx="14">
                  <c:v>254894.04296875</c:v>
                </c:pt>
                <c:pt idx="15">
                  <c:v>229068.921875</c:v>
                </c:pt>
                <c:pt idx="16">
                  <c:v>240487.96484375</c:v>
                </c:pt>
                <c:pt idx="17">
                  <c:v>251956.70703125</c:v>
                </c:pt>
                <c:pt idx="18">
                  <c:v>255853.796875</c:v>
                </c:pt>
                <c:pt idx="19">
                  <c:v>255564.8671875</c:v>
                </c:pt>
                <c:pt idx="20">
                  <c:v>253933.078125</c:v>
                </c:pt>
                <c:pt idx="21">
                  <c:v>252607.73046875</c:v>
                </c:pt>
                <c:pt idx="22">
                  <c:v>255086.62890625</c:v>
                </c:pt>
                <c:pt idx="23">
                  <c:v>248786.578125</c:v>
                </c:pt>
                <c:pt idx="24">
                  <c:v>245273.17578125</c:v>
                </c:pt>
                <c:pt idx="25">
                  <c:v>219623.32421875</c:v>
                </c:pt>
                <c:pt idx="26">
                  <c:v>215797.02734375</c:v>
                </c:pt>
                <c:pt idx="27">
                  <c:v>247490.2109375</c:v>
                </c:pt>
                <c:pt idx="28">
                  <c:v>249226.265625</c:v>
                </c:pt>
                <c:pt idx="29">
                  <c:v>249602.16015625</c:v>
                </c:pt>
                <c:pt idx="30">
                  <c:v>252714.5390625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5-443A-A325-1B5997635BC0}"/>
            </c:ext>
          </c:extLst>
        </c:ser>
        <c:ser>
          <c:idx val="1"/>
          <c:order val="1"/>
          <c:tx>
            <c:strRef>
              <c:f>Sheet1!$AK$1</c:f>
              <c:strCache>
                <c:ptCount val="1"/>
                <c:pt idx="0">
                  <c:v>Ethanol_Plan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EE-450F-85DF-EE616CFE4B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Sheet1!$B$3:$B$33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Sheet1!$AK$3:$AK$33</c:f>
              <c:numCache>
                <c:formatCode>General</c:formatCode>
                <c:ptCount val="31"/>
                <c:pt idx="0">
                  <c:v>250000</c:v>
                </c:pt>
                <c:pt idx="1">
                  <c:v>250000</c:v>
                </c:pt>
                <c:pt idx="2">
                  <c:v>250000</c:v>
                </c:pt>
                <c:pt idx="3">
                  <c:v>250000</c:v>
                </c:pt>
                <c:pt idx="4">
                  <c:v>250000</c:v>
                </c:pt>
                <c:pt idx="5">
                  <c:v>253500</c:v>
                </c:pt>
                <c:pt idx="6">
                  <c:v>253500</c:v>
                </c:pt>
                <c:pt idx="7">
                  <c:v>253500</c:v>
                </c:pt>
                <c:pt idx="8">
                  <c:v>253500</c:v>
                </c:pt>
                <c:pt idx="9">
                  <c:v>253500</c:v>
                </c:pt>
                <c:pt idx="10">
                  <c:v>253500</c:v>
                </c:pt>
                <c:pt idx="11">
                  <c:v>253500</c:v>
                </c:pt>
                <c:pt idx="12">
                  <c:v>253500</c:v>
                </c:pt>
                <c:pt idx="13">
                  <c:v>253500</c:v>
                </c:pt>
                <c:pt idx="14">
                  <c:v>253500</c:v>
                </c:pt>
                <c:pt idx="15">
                  <c:v>253500</c:v>
                </c:pt>
                <c:pt idx="16">
                  <c:v>253500</c:v>
                </c:pt>
                <c:pt idx="17">
                  <c:v>253500</c:v>
                </c:pt>
                <c:pt idx="18">
                  <c:v>253500</c:v>
                </c:pt>
                <c:pt idx="19">
                  <c:v>253500</c:v>
                </c:pt>
                <c:pt idx="20">
                  <c:v>253500</c:v>
                </c:pt>
                <c:pt idx="21">
                  <c:v>253500</c:v>
                </c:pt>
                <c:pt idx="22">
                  <c:v>253500</c:v>
                </c:pt>
                <c:pt idx="23">
                  <c:v>253500</c:v>
                </c:pt>
                <c:pt idx="24">
                  <c:v>253500</c:v>
                </c:pt>
                <c:pt idx="25">
                  <c:v>253500</c:v>
                </c:pt>
                <c:pt idx="26">
                  <c:v>253500</c:v>
                </c:pt>
                <c:pt idx="27">
                  <c:v>253500</c:v>
                </c:pt>
                <c:pt idx="28">
                  <c:v>253500</c:v>
                </c:pt>
                <c:pt idx="29">
                  <c:v>253500</c:v>
                </c:pt>
                <c:pt idx="30">
                  <c:v>253500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5-443A-A325-1B5997635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66720"/>
        <c:axId val="198555904"/>
      </c:lineChart>
      <c:dateAx>
        <c:axId val="19856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55904"/>
        <c:crosses val="autoZero"/>
        <c:auto val="1"/>
        <c:lblOffset val="100"/>
        <c:baseTimeUnit val="days"/>
      </c:dateAx>
      <c:valAx>
        <c:axId val="198555904"/>
        <c:scaling>
          <c:orientation val="minMax"/>
          <c:min val="2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602817</xdr:colOff>
      <xdr:row>5</xdr:row>
      <xdr:rowOff>138545</xdr:rowOff>
    </xdr:from>
    <xdr:to>
      <xdr:col>53</xdr:col>
      <xdr:colOff>288636</xdr:colOff>
      <xdr:row>19</xdr:row>
      <xdr:rowOff>92363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299752</xdr:colOff>
      <xdr:row>5</xdr:row>
      <xdr:rowOff>134506</xdr:rowOff>
    </xdr:from>
    <xdr:to>
      <xdr:col>64</xdr:col>
      <xdr:colOff>0</xdr:colOff>
      <xdr:row>19</xdr:row>
      <xdr:rowOff>103909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11546</xdr:colOff>
      <xdr:row>19</xdr:row>
      <xdr:rowOff>92363</xdr:rowOff>
    </xdr:from>
    <xdr:to>
      <xdr:col>53</xdr:col>
      <xdr:colOff>288636</xdr:colOff>
      <xdr:row>34</xdr:row>
      <xdr:rowOff>103909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294410</xdr:colOff>
      <xdr:row>19</xdr:row>
      <xdr:rowOff>103909</xdr:rowOff>
    </xdr:from>
    <xdr:to>
      <xdr:col>64</xdr:col>
      <xdr:colOff>11546</xdr:colOff>
      <xdr:row>34</xdr:row>
      <xdr:rowOff>92365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0</xdr:colOff>
      <xdr:row>34</xdr:row>
      <xdr:rowOff>92364</xdr:rowOff>
    </xdr:from>
    <xdr:to>
      <xdr:col>53</xdr:col>
      <xdr:colOff>311727</xdr:colOff>
      <xdr:row>49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311726</xdr:colOff>
      <xdr:row>34</xdr:row>
      <xdr:rowOff>92364</xdr:rowOff>
    </xdr:from>
    <xdr:to>
      <xdr:col>64</xdr:col>
      <xdr:colOff>0</xdr:colOff>
      <xdr:row>48</xdr:row>
      <xdr:rowOff>173182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2"/>
  <sheetViews>
    <sheetView tabSelected="1" zoomScale="40" zoomScaleNormal="40"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F79" sqref="F79"/>
    </sheetView>
  </sheetViews>
  <sheetFormatPr defaultRowHeight="14.5"/>
  <cols>
    <col min="1" max="1" width="36.7265625" bestFit="1" customWidth="1"/>
    <col min="2" max="2" width="11.90625" bestFit="1" customWidth="1"/>
    <col min="3" max="3" width="14.1796875" bestFit="1" customWidth="1"/>
    <col min="4" max="4" width="12.81640625" bestFit="1" customWidth="1"/>
    <col min="5" max="5" width="13.1796875" bestFit="1" customWidth="1"/>
    <col min="6" max="6" width="16.81640625" bestFit="1" customWidth="1"/>
    <col min="7" max="8" width="16.90625" bestFit="1" customWidth="1"/>
    <col min="9" max="9" width="17.26953125" bestFit="1" customWidth="1"/>
    <col min="10" max="10" width="20.54296875" bestFit="1" customWidth="1"/>
    <col min="11" max="11" width="20.7265625" bestFit="1" customWidth="1"/>
    <col min="12" max="12" width="16.08984375" bestFit="1" customWidth="1"/>
    <col min="13" max="13" width="20.7265625" bestFit="1" customWidth="1"/>
    <col min="14" max="14" width="15.453125" bestFit="1" customWidth="1"/>
    <col min="15" max="15" width="15.6328125" bestFit="1" customWidth="1"/>
    <col min="16" max="16" width="9.6328125" bestFit="1" customWidth="1"/>
    <col min="17" max="17" width="18.26953125" bestFit="1" customWidth="1"/>
    <col min="18" max="18" width="18.453125" bestFit="1" customWidth="1"/>
    <col min="19" max="19" width="12.36328125" bestFit="1" customWidth="1"/>
    <col min="20" max="20" width="12" bestFit="1" customWidth="1"/>
    <col min="21" max="21" width="11.1796875" bestFit="1" customWidth="1"/>
    <col min="22" max="22" width="12.453125" bestFit="1" customWidth="1"/>
    <col min="23" max="23" width="17.26953125" bestFit="1" customWidth="1"/>
    <col min="24" max="24" width="14.81640625" bestFit="1" customWidth="1"/>
    <col min="25" max="25" width="13.81640625" bestFit="1" customWidth="1"/>
    <col min="26" max="26" width="14" bestFit="1" customWidth="1"/>
    <col min="27" max="27" width="8" bestFit="1" customWidth="1"/>
    <col min="28" max="28" width="16.453125" bestFit="1" customWidth="1"/>
    <col min="29" max="29" width="16.6328125" bestFit="1" customWidth="1"/>
    <col min="30" max="30" width="15.26953125" bestFit="1" customWidth="1"/>
    <col min="31" max="31" width="15.453125" bestFit="1" customWidth="1"/>
    <col min="32" max="32" width="14.453125" customWidth="1"/>
    <col min="33" max="33" width="19.08984375" bestFit="1" customWidth="1"/>
    <col min="34" max="34" width="10" bestFit="1" customWidth="1"/>
    <col min="35" max="35" width="9.54296875" bestFit="1" customWidth="1"/>
    <col min="36" max="36" width="10.81640625" bestFit="1" customWidth="1"/>
    <col min="37" max="37" width="13.1796875" bestFit="1" customWidth="1"/>
    <col min="38" max="38" width="12" bestFit="1" customWidth="1"/>
    <col min="39" max="39" width="12.6328125" bestFit="1" customWidth="1"/>
    <col min="40" max="40" width="12.81640625" bestFit="1" customWidth="1"/>
    <col min="41" max="41" width="15.54296875" customWidth="1"/>
  </cols>
  <sheetData>
    <row r="1" spans="1:64">
      <c r="A1" s="1" t="s">
        <v>1</v>
      </c>
      <c r="B1" s="14" t="s">
        <v>0</v>
      </c>
      <c r="C1" s="15" t="s">
        <v>52</v>
      </c>
      <c r="D1" s="16" t="s">
        <v>14</v>
      </c>
      <c r="E1" s="16" t="s">
        <v>15</v>
      </c>
      <c r="F1" s="16" t="s">
        <v>16</v>
      </c>
      <c r="G1" s="16" t="s">
        <v>17</v>
      </c>
      <c r="H1" s="16" t="s">
        <v>18</v>
      </c>
      <c r="I1" s="16" t="s">
        <v>19</v>
      </c>
      <c r="J1" s="16" t="s">
        <v>20</v>
      </c>
      <c r="K1" s="16" t="s">
        <v>21</v>
      </c>
      <c r="L1" s="16" t="s">
        <v>22</v>
      </c>
      <c r="M1" s="16" t="s">
        <v>23</v>
      </c>
      <c r="N1" s="17" t="s">
        <v>24</v>
      </c>
      <c r="O1" s="17" t="s">
        <v>25</v>
      </c>
      <c r="P1" s="17" t="s">
        <v>26</v>
      </c>
      <c r="Q1" s="17" t="s">
        <v>27</v>
      </c>
      <c r="R1" s="17" t="s">
        <v>28</v>
      </c>
      <c r="S1" s="17" t="s">
        <v>29</v>
      </c>
      <c r="T1" s="16" t="s">
        <v>30</v>
      </c>
      <c r="U1" s="16" t="s">
        <v>31</v>
      </c>
      <c r="V1" s="16" t="s">
        <v>32</v>
      </c>
      <c r="W1" s="16" t="s">
        <v>50</v>
      </c>
      <c r="X1" s="17" t="s">
        <v>33</v>
      </c>
      <c r="Y1" s="18" t="s">
        <v>34</v>
      </c>
      <c r="Z1" s="18" t="s">
        <v>35</v>
      </c>
      <c r="AA1" s="18" t="s">
        <v>36</v>
      </c>
      <c r="AB1" s="18" t="s">
        <v>37</v>
      </c>
      <c r="AC1" s="18" t="s">
        <v>38</v>
      </c>
      <c r="AD1" s="18" t="s">
        <v>39</v>
      </c>
      <c r="AE1" s="18" t="s">
        <v>40</v>
      </c>
      <c r="AF1" s="18" t="s">
        <v>41</v>
      </c>
      <c r="AG1" s="18" t="s">
        <v>42</v>
      </c>
      <c r="AH1" s="18" t="s">
        <v>43</v>
      </c>
      <c r="AI1" s="18" t="s">
        <v>44</v>
      </c>
      <c r="AJ1" s="18" t="s">
        <v>45</v>
      </c>
      <c r="AK1" s="18" t="s">
        <v>46</v>
      </c>
      <c r="AL1" s="19" t="s">
        <v>47</v>
      </c>
      <c r="AM1" s="19" t="s">
        <v>48</v>
      </c>
      <c r="AN1" s="19" t="s">
        <v>49</v>
      </c>
    </row>
    <row r="2" spans="1:64" ht="16">
      <c r="A2" s="2" t="s">
        <v>2</v>
      </c>
      <c r="B2" s="20">
        <v>46022</v>
      </c>
      <c r="C2" s="13">
        <v>46023</v>
      </c>
      <c r="D2" s="10"/>
      <c r="E2" s="10"/>
      <c r="F2" s="5">
        <v>412380.6875</v>
      </c>
      <c r="G2" s="5">
        <v>159764.109375</v>
      </c>
      <c r="H2" s="10"/>
      <c r="I2" s="10"/>
      <c r="J2" s="10"/>
      <c r="K2" s="10"/>
      <c r="L2" s="10"/>
      <c r="M2" s="10"/>
      <c r="N2" s="10"/>
      <c r="O2" s="10"/>
      <c r="P2" s="11"/>
      <c r="Q2" s="11"/>
      <c r="R2" s="11"/>
      <c r="S2" s="11"/>
      <c r="T2" s="10"/>
      <c r="U2" s="10"/>
      <c r="V2" s="10"/>
      <c r="W2" s="10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 spans="1:64" ht="16">
      <c r="A3" s="3" t="s">
        <v>3</v>
      </c>
      <c r="B3" s="20">
        <v>46023</v>
      </c>
      <c r="C3" s="13">
        <v>46024</v>
      </c>
      <c r="D3" s="6">
        <v>243.61018371582031</v>
      </c>
      <c r="E3" s="6">
        <v>548.63336181640625</v>
      </c>
      <c r="F3" s="7">
        <v>413369.875</v>
      </c>
      <c r="G3" s="7">
        <v>162790.625</v>
      </c>
      <c r="H3" s="6">
        <v>41.949821472167969</v>
      </c>
      <c r="I3" s="6">
        <v>57.010776519775391</v>
      </c>
      <c r="J3" s="7">
        <v>62391.55859375</v>
      </c>
      <c r="K3" s="7">
        <v>190958.5625</v>
      </c>
      <c r="L3" s="6">
        <v>1273.781494140625</v>
      </c>
      <c r="M3" s="6">
        <v>0.45993053913116455</v>
      </c>
      <c r="N3" s="8">
        <v>0.6202000415787301</v>
      </c>
      <c r="O3" s="8">
        <v>0.62019627664922972</v>
      </c>
      <c r="P3" s="8">
        <v>0.62019720382341692</v>
      </c>
      <c r="Q3" s="8">
        <v>260.17161977930107</v>
      </c>
      <c r="R3" s="8">
        <v>353.57924185366409</v>
      </c>
      <c r="S3" s="7">
        <v>324.85695297883746</v>
      </c>
      <c r="T3" s="5">
        <v>254226.984375</v>
      </c>
      <c r="U3" s="5">
        <v>0</v>
      </c>
      <c r="V3" s="5">
        <v>0</v>
      </c>
      <c r="W3" s="5" t="s">
        <v>51</v>
      </c>
      <c r="X3" s="7">
        <v>253350.12109375</v>
      </c>
      <c r="Y3" s="4">
        <v>0.61699999999999999</v>
      </c>
      <c r="Z3" s="9">
        <v>0.624</v>
      </c>
      <c r="AA3" s="9">
        <v>0.62</v>
      </c>
      <c r="AB3" s="9">
        <v>264.32</v>
      </c>
      <c r="AC3" s="9">
        <v>323.33999999999997</v>
      </c>
      <c r="AD3" s="4">
        <v>44.27</v>
      </c>
      <c r="AE3" s="4">
        <v>52.51</v>
      </c>
      <c r="AF3" s="9">
        <v>1400</v>
      </c>
      <c r="AG3" s="9">
        <v>1667</v>
      </c>
      <c r="AH3" s="4">
        <v>253500</v>
      </c>
      <c r="AI3" s="9">
        <v>0</v>
      </c>
      <c r="AJ3" s="9">
        <v>0</v>
      </c>
      <c r="AK3" s="4">
        <v>250000</v>
      </c>
      <c r="AL3" s="5">
        <v>254226.984375</v>
      </c>
      <c r="AM3" s="5">
        <v>-238.99700927734375</v>
      </c>
      <c r="AN3" s="5">
        <v>-636.9947509765625</v>
      </c>
      <c r="AO3" s="12"/>
    </row>
    <row r="4" spans="1:64" ht="16" customHeight="1">
      <c r="A4" s="2" t="s">
        <v>4</v>
      </c>
      <c r="B4" s="20">
        <v>46024</v>
      </c>
      <c r="C4" s="13">
        <v>46025</v>
      </c>
      <c r="D4" s="6">
        <v>243.88043212890625</v>
      </c>
      <c r="E4" s="6">
        <v>539.03607177734375</v>
      </c>
      <c r="F4" s="7">
        <v>413196.3125</v>
      </c>
      <c r="G4" s="7">
        <v>162258.03125</v>
      </c>
      <c r="H4" s="6">
        <v>41.690151214599609</v>
      </c>
      <c r="I4" s="6">
        <v>58.130222320556641</v>
      </c>
      <c r="J4" s="7">
        <v>61757.609375</v>
      </c>
      <c r="K4" s="7">
        <v>190326.171875</v>
      </c>
      <c r="L4" s="6">
        <v>1246.9927978515625</v>
      </c>
      <c r="M4" s="6">
        <v>662.946044921875</v>
      </c>
      <c r="N4" s="8">
        <v>0.60570031299253702</v>
      </c>
      <c r="O4" s="8">
        <v>0.60570575611093158</v>
      </c>
      <c r="P4" s="8">
        <v>0.6057044226130408</v>
      </c>
      <c r="Q4" s="8">
        <v>252.51908970089417</v>
      </c>
      <c r="R4" s="8">
        <v>352.09732747040454</v>
      </c>
      <c r="S4" s="7">
        <v>321.07845951105548</v>
      </c>
      <c r="T4" s="5">
        <v>252246.015625</v>
      </c>
      <c r="U4" s="5">
        <v>0</v>
      </c>
      <c r="V4" s="5">
        <v>0</v>
      </c>
      <c r="W4" s="5" t="s">
        <v>51</v>
      </c>
      <c r="X4" s="7">
        <v>252083.78125</v>
      </c>
      <c r="Y4" s="4">
        <v>0.61699999999999999</v>
      </c>
      <c r="Z4" s="9">
        <v>0.624</v>
      </c>
      <c r="AA4" s="9">
        <v>0.62</v>
      </c>
      <c r="AB4" s="9">
        <v>264.32</v>
      </c>
      <c r="AC4" s="9">
        <v>323.33999999999997</v>
      </c>
      <c r="AD4" s="4">
        <v>44.27</v>
      </c>
      <c r="AE4" s="4">
        <v>52.51</v>
      </c>
      <c r="AF4" s="9">
        <v>1400</v>
      </c>
      <c r="AG4" s="9">
        <v>1667</v>
      </c>
      <c r="AH4" s="4">
        <v>253500</v>
      </c>
      <c r="AI4" s="9">
        <v>0</v>
      </c>
      <c r="AJ4" s="9">
        <v>0</v>
      </c>
      <c r="AK4" s="4">
        <v>250000</v>
      </c>
      <c r="AL4" s="5">
        <v>252246.015625</v>
      </c>
      <c r="AM4" s="5">
        <v>18.992176055908203</v>
      </c>
      <c r="AN4" s="5">
        <v>-182</v>
      </c>
      <c r="AO4" s="12"/>
      <c r="AR4" s="21">
        <f>B33</f>
        <v>46053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</row>
    <row r="5" spans="1:64" ht="16" customHeight="1">
      <c r="A5" s="2" t="s">
        <v>5</v>
      </c>
      <c r="B5" s="20">
        <v>46025</v>
      </c>
      <c r="C5" s="13">
        <v>46026</v>
      </c>
      <c r="D5" s="6">
        <v>244.48971557617188</v>
      </c>
      <c r="E5" s="6">
        <v>533.43310546875</v>
      </c>
      <c r="F5" s="7">
        <v>416520.3125</v>
      </c>
      <c r="G5" s="7">
        <v>172371.9375</v>
      </c>
      <c r="H5" s="6">
        <v>41.909832000732422</v>
      </c>
      <c r="I5" s="6">
        <v>58.449966430664063</v>
      </c>
      <c r="J5" s="6">
        <v>62632.96875</v>
      </c>
      <c r="K5" s="6">
        <v>190583.890625</v>
      </c>
      <c r="L5" s="6">
        <v>1236.6177978515625</v>
      </c>
      <c r="M5" s="6">
        <v>1592.5013427734375</v>
      </c>
      <c r="N5" s="8">
        <v>0.64370098380673013</v>
      </c>
      <c r="O5" s="8">
        <v>0.64369238896126235</v>
      </c>
      <c r="P5" s="8">
        <v>0.64369451487210294</v>
      </c>
      <c r="Q5" s="8">
        <v>269.77128978082794</v>
      </c>
      <c r="R5" s="8">
        <v>376.23922785877005</v>
      </c>
      <c r="S5" s="4">
        <v>342.77791885167204</v>
      </c>
      <c r="T5" s="5">
        <v>254054.03125</v>
      </c>
      <c r="U5" s="5">
        <v>0</v>
      </c>
      <c r="V5" s="5">
        <v>0</v>
      </c>
      <c r="W5" s="5" t="s">
        <v>51</v>
      </c>
      <c r="X5" s="7">
        <v>253216.859375</v>
      </c>
      <c r="Y5" s="4">
        <v>0.61699999999999999</v>
      </c>
      <c r="Z5" s="9">
        <v>0.624</v>
      </c>
      <c r="AA5" s="9">
        <v>0.62</v>
      </c>
      <c r="AB5" s="9">
        <v>264.32</v>
      </c>
      <c r="AC5" s="9">
        <v>323.33999999999997</v>
      </c>
      <c r="AD5" s="4">
        <v>44.27</v>
      </c>
      <c r="AE5" s="4">
        <v>52.51</v>
      </c>
      <c r="AF5" s="9">
        <v>1400</v>
      </c>
      <c r="AG5" s="9">
        <v>1667</v>
      </c>
      <c r="AH5" s="4">
        <v>253500</v>
      </c>
      <c r="AI5" s="9">
        <v>0</v>
      </c>
      <c r="AJ5" s="9">
        <v>0</v>
      </c>
      <c r="AK5" s="4">
        <v>250000</v>
      </c>
      <c r="AL5" s="5">
        <v>254054.03125</v>
      </c>
      <c r="AM5" s="5">
        <v>-656.9959716796875</v>
      </c>
      <c r="AN5" s="5">
        <v>-182.00112915039063</v>
      </c>
      <c r="AO5" s="12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</row>
    <row r="6" spans="1:64" ht="16" customHeight="1">
      <c r="A6" s="2" t="s">
        <v>6</v>
      </c>
      <c r="B6" s="20">
        <v>46026</v>
      </c>
      <c r="C6" s="13">
        <v>46027</v>
      </c>
      <c r="D6" s="6">
        <v>244.07060241699219</v>
      </c>
      <c r="E6" s="6">
        <v>537.8927001953125</v>
      </c>
      <c r="F6" s="7">
        <v>416956.46875</v>
      </c>
      <c r="G6" s="7">
        <v>173719.34375</v>
      </c>
      <c r="H6" s="6">
        <v>41.670101165771484</v>
      </c>
      <c r="I6" s="6">
        <v>58.399951934814453</v>
      </c>
      <c r="J6" s="6">
        <v>62587.640625</v>
      </c>
      <c r="K6" s="6">
        <v>193310.09375</v>
      </c>
      <c r="L6" s="6">
        <v>1262.181640625</v>
      </c>
      <c r="M6" s="6">
        <v>1407.069580078125</v>
      </c>
      <c r="N6" s="8">
        <v>0.61967579959176267</v>
      </c>
      <c r="O6" s="8">
        <v>0.61967360999181598</v>
      </c>
      <c r="P6" s="8">
        <v>0.6196741455236362</v>
      </c>
      <c r="Q6" s="8">
        <v>258.21884333782924</v>
      </c>
      <c r="R6" s="8">
        <v>361.88940313827572</v>
      </c>
      <c r="S6" s="4">
        <v>329.53118901381197</v>
      </c>
      <c r="T6" s="5">
        <v>256489.96875</v>
      </c>
      <c r="U6" s="5">
        <v>0</v>
      </c>
      <c r="V6" s="5">
        <v>0</v>
      </c>
      <c r="W6" s="5" t="s">
        <v>51</v>
      </c>
      <c r="X6" s="7">
        <v>255897.734375</v>
      </c>
      <c r="Y6" s="4">
        <v>0.61699999999999999</v>
      </c>
      <c r="Z6" s="9">
        <v>0.624</v>
      </c>
      <c r="AA6" s="9">
        <v>0.62</v>
      </c>
      <c r="AB6" s="9">
        <v>264.32</v>
      </c>
      <c r="AC6" s="9">
        <v>323.33999999999997</v>
      </c>
      <c r="AD6" s="4">
        <v>44.27</v>
      </c>
      <c r="AE6" s="4">
        <v>52.51</v>
      </c>
      <c r="AF6" s="9">
        <v>1400</v>
      </c>
      <c r="AG6" s="9">
        <v>1667</v>
      </c>
      <c r="AH6" s="4">
        <v>253500</v>
      </c>
      <c r="AI6" s="9">
        <v>0</v>
      </c>
      <c r="AJ6" s="9">
        <v>0</v>
      </c>
      <c r="AK6" s="4">
        <v>250000</v>
      </c>
      <c r="AL6" s="5">
        <v>256489.96875</v>
      </c>
      <c r="AM6" s="5">
        <v>-310.99871826171875</v>
      </c>
      <c r="AN6" s="5">
        <v>-279.9974365234375</v>
      </c>
      <c r="AO6" s="12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</row>
    <row r="7" spans="1:64" ht="16">
      <c r="A7" s="2" t="s">
        <v>7</v>
      </c>
      <c r="B7" s="20">
        <v>46027</v>
      </c>
      <c r="C7" s="13">
        <v>46028</v>
      </c>
      <c r="D7" s="6">
        <v>230.55075073242188</v>
      </c>
      <c r="E7" s="6">
        <v>527.37274169921875</v>
      </c>
      <c r="F7" s="7">
        <v>416210.625</v>
      </c>
      <c r="G7" s="7">
        <v>171336.84375</v>
      </c>
      <c r="H7" s="6">
        <v>41.820026397705078</v>
      </c>
      <c r="I7" s="6">
        <v>58.329730987548828</v>
      </c>
      <c r="J7" s="6">
        <v>60632.4765625</v>
      </c>
      <c r="K7" s="6">
        <v>193446.21875</v>
      </c>
      <c r="L7" s="6">
        <v>1235.9224853515625</v>
      </c>
      <c r="M7" s="6">
        <v>1075.1973876953125</v>
      </c>
      <c r="N7" s="8">
        <v>0.62112506008739898</v>
      </c>
      <c r="O7" s="8">
        <v>0.62111293560266234</v>
      </c>
      <c r="P7" s="8">
        <v>0.6211158289390124</v>
      </c>
      <c r="Q7" s="8">
        <v>259.75080362261969</v>
      </c>
      <c r="R7" s="8">
        <v>362.2951921412099</v>
      </c>
      <c r="S7" s="4">
        <v>331.10248470776088</v>
      </c>
      <c r="T7" s="5">
        <v>254336.03125</v>
      </c>
      <c r="U7" s="5">
        <v>0</v>
      </c>
      <c r="V7" s="5">
        <v>0</v>
      </c>
      <c r="W7" s="5" t="s">
        <v>51</v>
      </c>
      <c r="X7" s="7">
        <v>254078.6953125</v>
      </c>
      <c r="Y7" s="4">
        <v>0.61699999999999999</v>
      </c>
      <c r="Z7" s="9">
        <v>0.624</v>
      </c>
      <c r="AA7" s="9">
        <v>0.62</v>
      </c>
      <c r="AB7" s="9">
        <v>264.32</v>
      </c>
      <c r="AC7" s="9">
        <v>323.33999999999997</v>
      </c>
      <c r="AD7" s="4">
        <v>44.27</v>
      </c>
      <c r="AE7" s="4">
        <v>52.51</v>
      </c>
      <c r="AF7" s="9">
        <v>1400</v>
      </c>
      <c r="AG7" s="9">
        <v>1667</v>
      </c>
      <c r="AH7" s="4">
        <v>253500</v>
      </c>
      <c r="AI7" s="9">
        <v>0</v>
      </c>
      <c r="AJ7" s="9">
        <v>0</v>
      </c>
      <c r="AK7" s="4">
        <v>250000</v>
      </c>
      <c r="AL7" s="5">
        <v>254336.03125</v>
      </c>
      <c r="AM7" s="5">
        <v>-200.99967956542969</v>
      </c>
      <c r="AN7" s="5">
        <v>-58.001712799072266</v>
      </c>
      <c r="AO7" s="12"/>
    </row>
    <row r="8" spans="1:64" ht="16">
      <c r="A8" s="2" t="s">
        <v>8</v>
      </c>
      <c r="B8" s="20">
        <v>46028</v>
      </c>
      <c r="C8" s="13">
        <v>46029</v>
      </c>
      <c r="D8" s="6">
        <v>246.03555297851563</v>
      </c>
      <c r="E8" s="6">
        <v>516.96990966796875</v>
      </c>
      <c r="F8" s="7">
        <v>417119.8125</v>
      </c>
      <c r="G8" s="7">
        <v>173981.484375</v>
      </c>
      <c r="H8" s="6">
        <v>41.861141204833984</v>
      </c>
      <c r="I8" s="6">
        <v>57.939590454101563</v>
      </c>
      <c r="J8" s="6">
        <v>65632.4140625</v>
      </c>
      <c r="K8" s="6">
        <v>190874.484375</v>
      </c>
      <c r="L8" s="6">
        <v>1268.28125</v>
      </c>
      <c r="M8" s="6">
        <v>869.739990234375</v>
      </c>
      <c r="N8" s="8">
        <v>0.64607705417786798</v>
      </c>
      <c r="O8" s="8">
        <v>0.64607539977242523</v>
      </c>
      <c r="P8" s="8">
        <v>0.64607582308347067</v>
      </c>
      <c r="Q8" s="8">
        <v>270.45471259126504</v>
      </c>
      <c r="R8" s="8">
        <v>374.33368591752867</v>
      </c>
      <c r="S8" s="4">
        <v>340.83730627626096</v>
      </c>
      <c r="T8" s="5">
        <v>256887.96875</v>
      </c>
      <c r="U8" s="5">
        <v>0</v>
      </c>
      <c r="V8" s="5">
        <v>0</v>
      </c>
      <c r="W8" s="5" t="s">
        <v>51</v>
      </c>
      <c r="X8" s="7">
        <v>256506.8984375</v>
      </c>
      <c r="Y8" s="4">
        <v>0.61699999999999999</v>
      </c>
      <c r="Z8" s="9">
        <v>0.624</v>
      </c>
      <c r="AA8" s="9">
        <v>0.62</v>
      </c>
      <c r="AB8" s="9">
        <v>264.32</v>
      </c>
      <c r="AC8" s="9">
        <v>323.33999999999997</v>
      </c>
      <c r="AD8" s="4">
        <v>44.27</v>
      </c>
      <c r="AE8" s="4">
        <v>52.51</v>
      </c>
      <c r="AF8" s="9">
        <v>1400</v>
      </c>
      <c r="AG8" s="9">
        <v>1667</v>
      </c>
      <c r="AH8" s="4">
        <v>253500</v>
      </c>
      <c r="AI8" s="9">
        <v>0</v>
      </c>
      <c r="AJ8" s="9">
        <v>0</v>
      </c>
      <c r="AK8" s="4">
        <f>SUM(AH8:AJ8)</f>
        <v>253500</v>
      </c>
      <c r="AL8" s="5">
        <v>256887.96875</v>
      </c>
      <c r="AM8" s="5">
        <v>-173.00816345214844</v>
      </c>
      <c r="AN8" s="5">
        <v>-205.99662780761719</v>
      </c>
      <c r="AO8" s="12"/>
    </row>
    <row r="9" spans="1:64" ht="16">
      <c r="A9" s="2" t="s">
        <v>9</v>
      </c>
      <c r="B9" s="20">
        <v>46029</v>
      </c>
      <c r="C9" s="13">
        <v>46030</v>
      </c>
      <c r="D9" s="6">
        <v>239.63658142089844</v>
      </c>
      <c r="E9" s="6">
        <v>545.5850830078125</v>
      </c>
      <c r="F9" s="7">
        <v>416872.28125</v>
      </c>
      <c r="G9" s="7">
        <v>173240.921875</v>
      </c>
      <c r="H9" s="6">
        <v>43.500679016113281</v>
      </c>
      <c r="I9" s="6">
        <v>57.348323822021484</v>
      </c>
      <c r="J9" s="6">
        <v>63348.83984375</v>
      </c>
      <c r="K9" s="6">
        <v>190140</v>
      </c>
      <c r="L9" s="6">
        <v>1241.25244140625</v>
      </c>
      <c r="M9" s="6">
        <v>538.88287353515625</v>
      </c>
      <c r="N9" s="8">
        <v>0.60532584119668531</v>
      </c>
      <c r="O9" s="8">
        <v>0.60533455835387606</v>
      </c>
      <c r="P9" s="8">
        <v>0.60533237986539168</v>
      </c>
      <c r="Q9" s="8">
        <v>263.32369554584358</v>
      </c>
      <c r="R9" s="8">
        <v>347.147973404754</v>
      </c>
      <c r="S9" s="4">
        <v>321.56619911583471</v>
      </c>
      <c r="T9" s="5">
        <v>254282.984375</v>
      </c>
      <c r="U9" s="5">
        <v>0</v>
      </c>
      <c r="V9" s="5">
        <v>0</v>
      </c>
      <c r="W9" s="5" t="s">
        <v>51</v>
      </c>
      <c r="X9" s="7">
        <v>253488.83984375</v>
      </c>
      <c r="Y9" s="4">
        <v>0.61699999999999999</v>
      </c>
      <c r="Z9" s="9">
        <v>0.624</v>
      </c>
      <c r="AA9" s="9">
        <v>0.62</v>
      </c>
      <c r="AB9" s="9">
        <v>264.32</v>
      </c>
      <c r="AC9" s="9">
        <v>323.33999999999997</v>
      </c>
      <c r="AD9" s="4">
        <v>44.27</v>
      </c>
      <c r="AE9" s="4">
        <v>52.51</v>
      </c>
      <c r="AF9" s="9">
        <v>1400</v>
      </c>
      <c r="AG9" s="9">
        <v>1667</v>
      </c>
      <c r="AH9" s="4">
        <v>253500</v>
      </c>
      <c r="AI9" s="9">
        <v>0</v>
      </c>
      <c r="AJ9" s="9">
        <v>0</v>
      </c>
      <c r="AK9" s="4">
        <f t="shared" ref="AK9:AK58" si="0">SUM(AH9:AJ9)</f>
        <v>253500</v>
      </c>
      <c r="AL9" s="5">
        <v>254282.984375</v>
      </c>
      <c r="AM9" s="5">
        <v>-878.003173828125</v>
      </c>
      <c r="AN9" s="5">
        <v>84.992538452148438</v>
      </c>
      <c r="AO9" s="12"/>
    </row>
    <row r="10" spans="1:64" ht="16">
      <c r="A10" s="2" t="s">
        <v>10</v>
      </c>
      <c r="B10" s="20">
        <v>46030</v>
      </c>
      <c r="C10" s="13">
        <v>46031</v>
      </c>
      <c r="D10" s="6">
        <v>220.33016967773438</v>
      </c>
      <c r="E10" s="6">
        <v>567.28314208984375</v>
      </c>
      <c r="F10" s="7">
        <v>417290</v>
      </c>
      <c r="G10" s="7">
        <v>174566.859375</v>
      </c>
      <c r="H10" s="6">
        <v>44.479804992675781</v>
      </c>
      <c r="I10" s="6">
        <v>54.9395751953125</v>
      </c>
      <c r="J10" s="6">
        <v>60240.01953125</v>
      </c>
      <c r="K10" s="6">
        <v>191572.3125</v>
      </c>
      <c r="L10" s="6">
        <v>1172.5621337890625</v>
      </c>
      <c r="M10" s="6">
        <v>629.27850341796875</v>
      </c>
      <c r="N10" s="8">
        <v>0.61894116704233926</v>
      </c>
      <c r="O10" s="8">
        <v>0.61893225030009924</v>
      </c>
      <c r="P10" s="8">
        <v>0.6189343834127613</v>
      </c>
      <c r="Q10" s="8">
        <v>275.30080677461649</v>
      </c>
      <c r="R10" s="8">
        <v>340.0399209846978</v>
      </c>
      <c r="S10" s="4">
        <v>321.92953635104817</v>
      </c>
      <c r="T10" s="5">
        <v>253522</v>
      </c>
      <c r="U10" s="5">
        <v>0</v>
      </c>
      <c r="V10" s="5">
        <v>0</v>
      </c>
      <c r="W10" s="5" t="s">
        <v>51</v>
      </c>
      <c r="X10" s="7">
        <v>251812.33203125</v>
      </c>
      <c r="Y10" s="4">
        <v>0.61699999999999999</v>
      </c>
      <c r="Z10" s="9">
        <v>0.624</v>
      </c>
      <c r="AA10" s="9">
        <v>0.62</v>
      </c>
      <c r="AB10" s="9">
        <v>264.32</v>
      </c>
      <c r="AC10" s="9">
        <v>323.33999999999997</v>
      </c>
      <c r="AD10" s="4">
        <v>44.27</v>
      </c>
      <c r="AE10" s="4">
        <v>52.51</v>
      </c>
      <c r="AF10" s="9">
        <v>1400</v>
      </c>
      <c r="AG10" s="9">
        <v>1667</v>
      </c>
      <c r="AH10" s="4">
        <v>253500</v>
      </c>
      <c r="AI10" s="9">
        <v>0</v>
      </c>
      <c r="AJ10" s="9">
        <v>0</v>
      </c>
      <c r="AK10" s="4">
        <f t="shared" si="0"/>
        <v>253500</v>
      </c>
      <c r="AL10" s="5">
        <v>253522</v>
      </c>
      <c r="AM10" s="5">
        <v>-1150.0020751953125</v>
      </c>
      <c r="AN10" s="5">
        <v>-559.99627685546875</v>
      </c>
      <c r="AO10" s="12"/>
    </row>
    <row r="11" spans="1:64">
      <c r="A11" s="2" t="s">
        <v>11</v>
      </c>
      <c r="B11" s="20">
        <v>46031</v>
      </c>
      <c r="C11" s="13">
        <v>46032</v>
      </c>
      <c r="D11" s="6">
        <v>220.57398986816406</v>
      </c>
      <c r="E11" s="6">
        <v>571.7847900390625</v>
      </c>
      <c r="F11" s="7">
        <v>415868.25</v>
      </c>
      <c r="G11" s="7">
        <v>170035.484375</v>
      </c>
      <c r="H11" s="6">
        <v>44.200145721435547</v>
      </c>
      <c r="I11" s="6">
        <v>54.329906463623047</v>
      </c>
      <c r="J11" s="6">
        <v>60264.140625</v>
      </c>
      <c r="K11" s="6">
        <v>192021.890625</v>
      </c>
      <c r="L11" s="6">
        <v>974.44586181640625</v>
      </c>
      <c r="M11" s="6">
        <v>569.610595703125</v>
      </c>
      <c r="N11" s="8">
        <v>0.60354868575798637</v>
      </c>
      <c r="O11" s="8">
        <v>0.60354234721561517</v>
      </c>
      <c r="P11" s="8">
        <v>0.60354386131298243</v>
      </c>
      <c r="Q11" s="8">
        <v>266.76726619311705</v>
      </c>
      <c r="R11" s="8">
        <v>327.90481531828215</v>
      </c>
      <c r="S11" s="4">
        <v>310.8855640860595</v>
      </c>
      <c r="T11" s="5">
        <v>253856.96875</v>
      </c>
      <c r="U11" s="5">
        <v>0</v>
      </c>
      <c r="V11" s="5">
        <v>0</v>
      </c>
      <c r="W11" s="5" t="s">
        <v>51</v>
      </c>
      <c r="X11" s="7">
        <v>252286.03125</v>
      </c>
      <c r="Y11" s="4">
        <v>0.61699999999999999</v>
      </c>
      <c r="Z11" s="9">
        <v>0.624</v>
      </c>
      <c r="AA11" s="9">
        <v>0.62</v>
      </c>
      <c r="AB11" s="9">
        <v>264.32</v>
      </c>
      <c r="AC11" s="9">
        <v>323.33999999999997</v>
      </c>
      <c r="AD11" s="4">
        <v>44.27</v>
      </c>
      <c r="AE11" s="4">
        <v>52.51</v>
      </c>
      <c r="AF11" s="9">
        <v>1400</v>
      </c>
      <c r="AG11" s="9">
        <v>1667</v>
      </c>
      <c r="AH11" s="4">
        <v>253500</v>
      </c>
      <c r="AI11" s="9">
        <v>0</v>
      </c>
      <c r="AJ11" s="9">
        <v>0</v>
      </c>
      <c r="AK11" s="4">
        <f t="shared" si="0"/>
        <v>253500</v>
      </c>
      <c r="AL11" s="5">
        <v>253856.96875</v>
      </c>
      <c r="AM11" s="5">
        <v>-1332.9970703125</v>
      </c>
      <c r="AN11" s="5">
        <v>-235.99978637695313</v>
      </c>
      <c r="AO11" s="12"/>
    </row>
    <row r="12" spans="1:64">
      <c r="A12" s="2" t="s">
        <v>12</v>
      </c>
      <c r="B12" s="20">
        <v>46032</v>
      </c>
      <c r="C12" s="13">
        <v>46033</v>
      </c>
      <c r="D12" s="6">
        <v>211.9359130859375</v>
      </c>
      <c r="E12" s="6">
        <v>578.67669677734375</v>
      </c>
      <c r="F12" s="7">
        <v>414780.6875</v>
      </c>
      <c r="G12" s="7">
        <v>166415.921875</v>
      </c>
      <c r="H12" s="6">
        <v>44.409904479980469</v>
      </c>
      <c r="I12" s="6">
        <v>54.190372467041016</v>
      </c>
      <c r="J12" s="6">
        <v>57590.078125</v>
      </c>
      <c r="K12" s="6">
        <v>191876.234375</v>
      </c>
      <c r="L12" s="6">
        <v>1328.22265625</v>
      </c>
      <c r="M12" s="6">
        <v>613.49969482421875</v>
      </c>
      <c r="N12" s="8">
        <v>0.60032079809529248</v>
      </c>
      <c r="O12" s="8">
        <v>0.60033304134969967</v>
      </c>
      <c r="P12" s="8">
        <v>0.60033021495722816</v>
      </c>
      <c r="Q12" s="8">
        <v>266.60607502696644</v>
      </c>
      <c r="R12" s="8">
        <v>325.3211795175099</v>
      </c>
      <c r="S12" s="4">
        <v>309.58168949812932</v>
      </c>
      <c r="T12" s="5">
        <v>250760.046875</v>
      </c>
      <c r="U12" s="5">
        <v>0</v>
      </c>
      <c r="V12" s="5">
        <v>0</v>
      </c>
      <c r="W12" s="5" t="s">
        <v>51</v>
      </c>
      <c r="X12" s="7">
        <v>249466.3125</v>
      </c>
      <c r="Y12" s="4">
        <v>0.61699999999999999</v>
      </c>
      <c r="Z12" s="9">
        <v>0.624</v>
      </c>
      <c r="AA12" s="9">
        <v>0.62</v>
      </c>
      <c r="AB12" s="9">
        <v>264.32</v>
      </c>
      <c r="AC12" s="9">
        <v>323.33999999999997</v>
      </c>
      <c r="AD12" s="4">
        <v>44.27</v>
      </c>
      <c r="AE12" s="4">
        <v>52.51</v>
      </c>
      <c r="AF12" s="9">
        <v>1400</v>
      </c>
      <c r="AG12" s="9">
        <v>1667</v>
      </c>
      <c r="AH12" s="4">
        <v>253500</v>
      </c>
      <c r="AI12" s="9">
        <v>0</v>
      </c>
      <c r="AJ12" s="9">
        <v>0</v>
      </c>
      <c r="AK12" s="4">
        <f t="shared" si="0"/>
        <v>253500</v>
      </c>
      <c r="AL12" s="5">
        <v>250760.046875</v>
      </c>
      <c r="AM12" s="5">
        <v>-1078.9976806640625</v>
      </c>
      <c r="AN12" s="5">
        <v>-217.99871826171875</v>
      </c>
      <c r="AO12" s="12"/>
    </row>
    <row r="13" spans="1:64">
      <c r="A13" s="2" t="s">
        <v>13</v>
      </c>
      <c r="B13" s="20">
        <v>46033</v>
      </c>
      <c r="C13" s="13">
        <v>46034</v>
      </c>
      <c r="D13" s="6">
        <v>220.46026611328125</v>
      </c>
      <c r="E13" s="6">
        <v>588.29632568359375</v>
      </c>
      <c r="F13" s="7">
        <v>414310.5</v>
      </c>
      <c r="G13" s="7">
        <v>164864.390625</v>
      </c>
      <c r="H13" s="6">
        <v>44.270339965820313</v>
      </c>
      <c r="I13" s="6">
        <v>54.730049133300781</v>
      </c>
      <c r="J13" s="6">
        <v>59140.80078125</v>
      </c>
      <c r="K13" s="6">
        <v>195101.84375</v>
      </c>
      <c r="L13" s="6">
        <v>1360.9586181640625</v>
      </c>
      <c r="M13" s="6">
        <v>411.58599853515625</v>
      </c>
      <c r="N13" s="8">
        <v>0.60114251440222899</v>
      </c>
      <c r="O13" s="8">
        <v>0.60113484522733185</v>
      </c>
      <c r="P13" s="8">
        <v>0.60113662918236299</v>
      </c>
      <c r="Q13" s="8">
        <v>266.12522939810469</v>
      </c>
      <c r="R13" s="8">
        <v>329.0023725097754</v>
      </c>
      <c r="S13" s="4">
        <v>311.862590474684</v>
      </c>
      <c r="T13" s="5">
        <v>255225</v>
      </c>
      <c r="U13" s="5">
        <v>0</v>
      </c>
      <c r="V13" s="5">
        <v>0</v>
      </c>
      <c r="W13" s="5" t="s">
        <v>51</v>
      </c>
      <c r="X13" s="7">
        <v>254242.64453125</v>
      </c>
      <c r="Y13" s="4">
        <v>0.61699999999999999</v>
      </c>
      <c r="Z13" s="9">
        <v>0.624</v>
      </c>
      <c r="AA13" s="9">
        <v>0.62</v>
      </c>
      <c r="AB13" s="9">
        <v>264.32</v>
      </c>
      <c r="AC13" s="9">
        <v>323.33999999999997</v>
      </c>
      <c r="AD13" s="4">
        <v>44.27</v>
      </c>
      <c r="AE13" s="4">
        <v>52.51</v>
      </c>
      <c r="AF13" s="9">
        <v>1400</v>
      </c>
      <c r="AG13" s="9">
        <v>1667</v>
      </c>
      <c r="AH13" s="4">
        <v>253500</v>
      </c>
      <c r="AI13" s="9">
        <v>0</v>
      </c>
      <c r="AJ13" s="9">
        <v>0</v>
      </c>
      <c r="AK13" s="4">
        <f t="shared" si="0"/>
        <v>253500</v>
      </c>
      <c r="AL13" s="5">
        <v>255225</v>
      </c>
      <c r="AM13" s="5">
        <v>-875.99407958984375</v>
      </c>
      <c r="AN13" s="5">
        <v>-107.00065612792969</v>
      </c>
      <c r="AO13" s="12"/>
    </row>
    <row r="14" spans="1:64">
      <c r="B14" s="20">
        <v>46034</v>
      </c>
      <c r="C14" s="13">
        <v>46035</v>
      </c>
      <c r="D14" s="6">
        <v>220.83039855957031</v>
      </c>
      <c r="E14" s="6">
        <v>582.98779296875</v>
      </c>
      <c r="F14" s="7">
        <v>413591.65625</v>
      </c>
      <c r="G14" s="7">
        <v>162540.921875</v>
      </c>
      <c r="H14" s="6">
        <v>44.760047912597656</v>
      </c>
      <c r="I14" s="6">
        <v>54.800025939941406</v>
      </c>
      <c r="J14" s="6">
        <v>60293.828125</v>
      </c>
      <c r="K14" s="6">
        <v>194877.078125</v>
      </c>
      <c r="L14" s="6">
        <v>1445.2359619140625</v>
      </c>
      <c r="M14" s="6">
        <v>391.47308349609375</v>
      </c>
      <c r="N14" s="8">
        <v>0.60271852231192802</v>
      </c>
      <c r="O14" s="8">
        <v>0.60271422060900903</v>
      </c>
      <c r="P14" s="8">
        <v>0.60271523704464436</v>
      </c>
      <c r="Q14" s="8">
        <v>269.77562887770938</v>
      </c>
      <c r="R14" s="8">
        <v>330.28810624444446</v>
      </c>
      <c r="S14" s="4">
        <v>313.66370705124422</v>
      </c>
      <c r="T14" s="5">
        <v>255702.984375</v>
      </c>
      <c r="U14" s="5">
        <v>0</v>
      </c>
      <c r="V14" s="5">
        <v>0</v>
      </c>
      <c r="W14" s="5" t="s">
        <v>51</v>
      </c>
      <c r="X14" s="7">
        <v>255170.90625</v>
      </c>
      <c r="Y14" s="4">
        <v>0.61699999999999999</v>
      </c>
      <c r="Z14" s="9">
        <v>0.624</v>
      </c>
      <c r="AA14" s="9">
        <v>0.62</v>
      </c>
      <c r="AB14" s="9">
        <v>264.32</v>
      </c>
      <c r="AC14" s="9">
        <v>323.33999999999997</v>
      </c>
      <c r="AD14" s="4">
        <v>44.27</v>
      </c>
      <c r="AE14" s="4">
        <v>52.51</v>
      </c>
      <c r="AF14" s="9">
        <v>1400</v>
      </c>
      <c r="AG14" s="9">
        <v>1667</v>
      </c>
      <c r="AH14" s="4">
        <v>253500</v>
      </c>
      <c r="AI14" s="9">
        <v>0</v>
      </c>
      <c r="AJ14" s="9">
        <v>0</v>
      </c>
      <c r="AK14" s="4">
        <f t="shared" si="0"/>
        <v>253500</v>
      </c>
      <c r="AL14" s="5">
        <v>255702.984375</v>
      </c>
      <c r="AM14" s="5">
        <v>-366.99490356445313</v>
      </c>
      <c r="AN14" s="5">
        <v>-163.99996948242188</v>
      </c>
      <c r="AO14" s="12"/>
    </row>
    <row r="15" spans="1:64">
      <c r="B15" s="20">
        <v>46035</v>
      </c>
      <c r="C15" s="13">
        <v>46036</v>
      </c>
      <c r="D15" s="6">
        <v>221.40943908691406</v>
      </c>
      <c r="E15" s="6">
        <v>565.4324951171875</v>
      </c>
      <c r="F15" s="7">
        <v>413092.34375</v>
      </c>
      <c r="G15" s="7">
        <v>160980.046875</v>
      </c>
      <c r="H15" s="6">
        <v>44.829750061035156</v>
      </c>
      <c r="I15" s="6">
        <v>54.840187072753906</v>
      </c>
      <c r="J15" s="6">
        <v>61486.796875</v>
      </c>
      <c r="K15" s="6">
        <v>192114</v>
      </c>
      <c r="L15" s="6">
        <v>1496.99658203125</v>
      </c>
      <c r="M15" s="6">
        <v>439.02761840820313</v>
      </c>
      <c r="N15" s="8">
        <v>0.61443828825817415</v>
      </c>
      <c r="O15" s="8">
        <v>0.61452051278793085</v>
      </c>
      <c r="P15" s="8">
        <v>0.61450057495132504</v>
      </c>
      <c r="Q15" s="8">
        <v>275.47907187430303</v>
      </c>
      <c r="R15" s="8">
        <v>336.99326486645498</v>
      </c>
      <c r="S15" s="4">
        <v>319.68378709942021</v>
      </c>
      <c r="T15" s="5">
        <v>253689.984375</v>
      </c>
      <c r="U15" s="5">
        <v>0</v>
      </c>
      <c r="V15" s="5">
        <v>0</v>
      </c>
      <c r="W15" s="5" t="s">
        <v>51</v>
      </c>
      <c r="X15" s="7">
        <v>253600.796875</v>
      </c>
      <c r="Y15" s="4">
        <v>0.61699999999999999</v>
      </c>
      <c r="Z15" s="9">
        <v>0.624</v>
      </c>
      <c r="AA15" s="9">
        <v>0.62</v>
      </c>
      <c r="AB15" s="9">
        <v>264.32</v>
      </c>
      <c r="AC15" s="9">
        <v>323.33999999999997</v>
      </c>
      <c r="AD15" s="4">
        <v>44.27</v>
      </c>
      <c r="AE15" s="4">
        <v>52.51</v>
      </c>
      <c r="AF15" s="9">
        <v>1400</v>
      </c>
      <c r="AG15" s="9">
        <v>1667</v>
      </c>
      <c r="AH15" s="4">
        <v>253500</v>
      </c>
      <c r="AI15" s="9">
        <v>0</v>
      </c>
      <c r="AJ15" s="9">
        <v>0</v>
      </c>
      <c r="AK15" s="4">
        <f t="shared" si="0"/>
        <v>253500</v>
      </c>
      <c r="AL15" s="5">
        <v>253689.984375</v>
      </c>
      <c r="AM15" s="5">
        <v>73.002769470214844</v>
      </c>
      <c r="AN15" s="5">
        <v>-161.01249694824219</v>
      </c>
      <c r="AO15" s="12"/>
    </row>
    <row r="16" spans="1:64">
      <c r="B16" s="20">
        <v>46036</v>
      </c>
      <c r="C16" s="13">
        <v>46037</v>
      </c>
      <c r="D16" s="6">
        <v>220.60020446777344</v>
      </c>
      <c r="E16" s="6">
        <v>554.67169189453125</v>
      </c>
      <c r="F16" s="7">
        <v>413576.28125</v>
      </c>
      <c r="G16" s="7">
        <v>162485.921875</v>
      </c>
      <c r="H16" s="6">
        <v>44.470424652099609</v>
      </c>
      <c r="I16" s="6">
        <v>55.109874725341797</v>
      </c>
      <c r="J16" s="6">
        <v>61194.55859375</v>
      </c>
      <c r="K16" s="6">
        <v>190679.546875</v>
      </c>
      <c r="L16" s="6">
        <v>1492.1351318359375</v>
      </c>
      <c r="M16" s="6">
        <v>363.65777587890625</v>
      </c>
      <c r="N16" s="8">
        <v>0.62871900512965784</v>
      </c>
      <c r="O16" s="8">
        <v>0.62871672818150559</v>
      </c>
      <c r="P16" s="8">
        <v>0.62871728138478788</v>
      </c>
      <c r="Q16" s="8">
        <v>279.59324489295119</v>
      </c>
      <c r="R16" s="8">
        <v>346.48530614773131</v>
      </c>
      <c r="S16" s="4">
        <v>327.45146465377974</v>
      </c>
      <c r="T16" s="5">
        <v>252801</v>
      </c>
      <c r="U16" s="5">
        <v>0</v>
      </c>
      <c r="V16" s="5">
        <v>0</v>
      </c>
      <c r="W16" s="5" t="s">
        <v>51</v>
      </c>
      <c r="X16" s="7">
        <v>251874.10546875</v>
      </c>
      <c r="Y16" s="4">
        <v>0.61699999999999999</v>
      </c>
      <c r="Z16" s="9">
        <v>0.624</v>
      </c>
      <c r="AA16" s="9">
        <v>0.62</v>
      </c>
      <c r="AB16" s="9">
        <v>264.32</v>
      </c>
      <c r="AC16" s="9">
        <v>323.33999999999997</v>
      </c>
      <c r="AD16" s="4">
        <v>44.27</v>
      </c>
      <c r="AE16" s="4">
        <v>52.51</v>
      </c>
      <c r="AF16" s="9">
        <v>1400</v>
      </c>
      <c r="AG16" s="9">
        <v>1667</v>
      </c>
      <c r="AH16" s="4">
        <v>253500</v>
      </c>
      <c r="AI16" s="9">
        <v>0</v>
      </c>
      <c r="AJ16" s="9">
        <v>0</v>
      </c>
      <c r="AK16" s="4">
        <f t="shared" si="0"/>
        <v>253500</v>
      </c>
      <c r="AL16" s="5">
        <v>252801</v>
      </c>
      <c r="AM16" s="5">
        <v>312.0006103515625</v>
      </c>
      <c r="AN16" s="5">
        <v>-1240.968017578125</v>
      </c>
      <c r="AO16" s="12"/>
    </row>
    <row r="17" spans="2:41">
      <c r="B17" s="20">
        <v>46037</v>
      </c>
      <c r="C17" s="13">
        <v>46038</v>
      </c>
      <c r="D17" s="6">
        <v>220.88020324707031</v>
      </c>
      <c r="E17" s="6">
        <v>600.24163818359375</v>
      </c>
      <c r="F17" s="7">
        <v>413979.28125</v>
      </c>
      <c r="G17" s="7">
        <v>163823.84375</v>
      </c>
      <c r="H17" s="6">
        <v>45.079994201660156</v>
      </c>
      <c r="I17" s="6">
        <v>54.929897308349609</v>
      </c>
      <c r="J17" s="6">
        <v>59116.24609375</v>
      </c>
      <c r="K17" s="6">
        <v>195777.796875</v>
      </c>
      <c r="L17" s="6">
        <v>1542.6734619140625</v>
      </c>
      <c r="M17" s="6">
        <v>317.32333374023438</v>
      </c>
      <c r="N17" s="8">
        <v>0.59774613514116093</v>
      </c>
      <c r="O17" s="8">
        <v>0.59784190361722811</v>
      </c>
      <c r="P17" s="8">
        <v>0.59781969008559332</v>
      </c>
      <c r="Q17" s="8">
        <v>269.49708162696817</v>
      </c>
      <c r="R17" s="8">
        <v>328.38174185311033</v>
      </c>
      <c r="S17" s="4">
        <v>312.54188099126378</v>
      </c>
      <c r="T17" s="5">
        <v>253021.71875</v>
      </c>
      <c r="U17" s="5">
        <v>0</v>
      </c>
      <c r="V17" s="5">
        <v>0</v>
      </c>
      <c r="W17" s="5" t="s">
        <v>51</v>
      </c>
      <c r="X17" s="7">
        <v>254894.04296875</v>
      </c>
      <c r="Y17" s="4">
        <v>0.61699999999999999</v>
      </c>
      <c r="Z17" s="9">
        <v>0.624</v>
      </c>
      <c r="AA17" s="9">
        <v>0.62</v>
      </c>
      <c r="AB17" s="9">
        <v>264.32</v>
      </c>
      <c r="AC17" s="9">
        <v>323.33999999999997</v>
      </c>
      <c r="AD17" s="4">
        <v>44.27</v>
      </c>
      <c r="AE17" s="4">
        <v>52.51</v>
      </c>
      <c r="AF17" s="9">
        <v>1400</v>
      </c>
      <c r="AG17" s="9">
        <v>1667</v>
      </c>
      <c r="AH17" s="4">
        <v>253500</v>
      </c>
      <c r="AI17" s="9">
        <v>0</v>
      </c>
      <c r="AJ17" s="9">
        <v>0</v>
      </c>
      <c r="AK17" s="4">
        <f t="shared" si="0"/>
        <v>253500</v>
      </c>
      <c r="AL17" s="5">
        <v>253021.71875</v>
      </c>
      <c r="AM17" s="5">
        <v>365.001708984375</v>
      </c>
      <c r="AN17" s="5">
        <v>1524.982177734375</v>
      </c>
      <c r="AO17" s="12"/>
    </row>
    <row r="18" spans="2:41">
      <c r="B18" s="20">
        <v>46038</v>
      </c>
      <c r="C18" s="13">
        <v>46039</v>
      </c>
      <c r="D18" s="6">
        <v>221.16290283203125</v>
      </c>
      <c r="E18" s="6">
        <v>573.7886962890625</v>
      </c>
      <c r="F18" s="7">
        <v>414364.15625</v>
      </c>
      <c r="G18" s="7">
        <v>165035.15625</v>
      </c>
      <c r="H18" s="6">
        <v>45.069465637207031</v>
      </c>
      <c r="I18" s="6">
        <v>54.77978515625</v>
      </c>
      <c r="J18" s="6">
        <v>55152.234375</v>
      </c>
      <c r="K18" s="6">
        <v>173916.6875</v>
      </c>
      <c r="L18" s="6">
        <v>1360.6451416015625</v>
      </c>
      <c r="M18" s="6">
        <v>394.0657958984375</v>
      </c>
      <c r="N18" s="8">
        <v>0.55717109909299167</v>
      </c>
      <c r="O18" s="8">
        <v>0.55716429169706216</v>
      </c>
      <c r="P18" s="8">
        <v>0.55716593069476905</v>
      </c>
      <c r="Q18" s="8">
        <v>251.1117076767037</v>
      </c>
      <c r="R18" s="8">
        <v>305.21429979841525</v>
      </c>
      <c r="S18" s="4">
        <v>290.16245722384303</v>
      </c>
      <c r="T18" s="5">
        <v>228562.125</v>
      </c>
      <c r="U18" s="5">
        <v>0</v>
      </c>
      <c r="V18" s="5">
        <v>0</v>
      </c>
      <c r="W18" s="5" t="s">
        <v>51</v>
      </c>
      <c r="X18" s="7">
        <v>229068.921875</v>
      </c>
      <c r="Y18" s="4">
        <v>0.61699999999999999</v>
      </c>
      <c r="Z18" s="9">
        <v>0.624</v>
      </c>
      <c r="AA18" s="9">
        <v>0.62</v>
      </c>
      <c r="AB18" s="9">
        <v>264.32</v>
      </c>
      <c r="AC18" s="9">
        <v>323.33999999999997</v>
      </c>
      <c r="AD18" s="4">
        <v>44.27</v>
      </c>
      <c r="AE18" s="4">
        <v>52.51</v>
      </c>
      <c r="AF18" s="9">
        <v>1400</v>
      </c>
      <c r="AG18" s="9">
        <v>1667</v>
      </c>
      <c r="AH18" s="4">
        <v>253500</v>
      </c>
      <c r="AI18" s="9">
        <v>0</v>
      </c>
      <c r="AJ18" s="9">
        <v>0</v>
      </c>
      <c r="AK18" s="4">
        <f t="shared" si="0"/>
        <v>253500</v>
      </c>
      <c r="AL18" s="5">
        <v>228562.125</v>
      </c>
      <c r="AM18" s="5">
        <v>511.99725341796875</v>
      </c>
      <c r="AN18" s="5">
        <v>-12.997777938842773</v>
      </c>
      <c r="AO18" s="12"/>
    </row>
    <row r="19" spans="2:41">
      <c r="B19" s="20">
        <v>46039</v>
      </c>
      <c r="C19" s="13">
        <v>46040</v>
      </c>
      <c r="D19" s="6">
        <v>210.95721435546875</v>
      </c>
      <c r="E19" s="6">
        <v>571.92913818359375</v>
      </c>
      <c r="F19" s="7">
        <v>417456.375</v>
      </c>
      <c r="G19" s="7">
        <v>175346.1875</v>
      </c>
      <c r="H19" s="6">
        <v>44.300716400146484</v>
      </c>
      <c r="I19" s="6">
        <v>54.469612121582031</v>
      </c>
      <c r="J19" s="6">
        <v>55496.49609375</v>
      </c>
      <c r="K19" s="6">
        <v>184991.46875</v>
      </c>
      <c r="L19" s="6">
        <v>1425.6099853515625</v>
      </c>
      <c r="M19" s="6">
        <v>344.75567626953125</v>
      </c>
      <c r="N19" s="8">
        <v>0.62691525858078667</v>
      </c>
      <c r="O19" s="8">
        <v>0.6269188044508972</v>
      </c>
      <c r="P19" s="8">
        <v>0.62691798619148331</v>
      </c>
      <c r="Q19" s="8">
        <v>277.72915912419853</v>
      </c>
      <c r="R19" s="8">
        <v>341.47979539893413</v>
      </c>
      <c r="S19" s="4">
        <v>324.30149538349752</v>
      </c>
      <c r="T19" s="5">
        <v>240025.125</v>
      </c>
      <c r="U19" s="5">
        <v>0</v>
      </c>
      <c r="V19" s="5">
        <v>0</v>
      </c>
      <c r="W19" s="5" t="s">
        <v>51</v>
      </c>
      <c r="X19" s="7">
        <v>240487.96484375</v>
      </c>
      <c r="Y19" s="4">
        <v>0.61699999999999999</v>
      </c>
      <c r="Z19" s="9">
        <v>0.624</v>
      </c>
      <c r="AA19" s="9">
        <v>0.62</v>
      </c>
      <c r="AB19" s="9">
        <v>264.32</v>
      </c>
      <c r="AC19" s="9">
        <v>323.33999999999997</v>
      </c>
      <c r="AD19" s="4">
        <v>44.27</v>
      </c>
      <c r="AE19" s="4">
        <v>52.51</v>
      </c>
      <c r="AF19" s="9">
        <v>1400</v>
      </c>
      <c r="AG19" s="9">
        <v>1667</v>
      </c>
      <c r="AH19" s="4">
        <v>253500</v>
      </c>
      <c r="AI19" s="9">
        <v>0</v>
      </c>
      <c r="AJ19" s="9">
        <v>0</v>
      </c>
      <c r="AK19" s="4">
        <f t="shared" si="0"/>
        <v>253500</v>
      </c>
      <c r="AL19" s="5">
        <v>240025.125</v>
      </c>
      <c r="AM19" s="5">
        <v>276.00335693359375</v>
      </c>
      <c r="AN19" s="5">
        <v>178.99873352050781</v>
      </c>
      <c r="AO19" s="12"/>
    </row>
    <row r="20" spans="2:41">
      <c r="B20" s="20">
        <v>46040</v>
      </c>
      <c r="C20" s="13">
        <v>46041</v>
      </c>
      <c r="D20" s="6">
        <v>221.34342956542969</v>
      </c>
      <c r="E20" s="6">
        <v>570.67791748046875</v>
      </c>
      <c r="F20" s="7">
        <v>419421.03125</v>
      </c>
      <c r="G20" s="7">
        <v>181368.078125</v>
      </c>
      <c r="H20" s="6">
        <v>45.330253601074219</v>
      </c>
      <c r="I20" s="6">
        <v>53.909576416015625</v>
      </c>
      <c r="J20" s="6">
        <v>61963.44140625</v>
      </c>
      <c r="K20" s="6">
        <v>189993.265625</v>
      </c>
      <c r="L20" s="6">
        <v>1440.0400390625</v>
      </c>
      <c r="M20" s="6">
        <v>252.32659912109375</v>
      </c>
      <c r="N20" s="8">
        <v>0.63714311959201675</v>
      </c>
      <c r="O20" s="8">
        <v>0.63713676469643921</v>
      </c>
      <c r="P20" s="8">
        <v>0.63713832755034461</v>
      </c>
      <c r="Q20" s="8">
        <v>288.81641966821411</v>
      </c>
      <c r="R20" s="8">
        <v>343.47857356647694</v>
      </c>
      <c r="S20" s="4">
        <v>328.20233302523098</v>
      </c>
      <c r="T20" s="5">
        <v>251318.0625</v>
      </c>
      <c r="U20" s="5">
        <v>0</v>
      </c>
      <c r="V20" s="5">
        <v>0</v>
      </c>
      <c r="W20" s="5" t="s">
        <v>51</v>
      </c>
      <c r="X20" s="7">
        <v>251956.70703125</v>
      </c>
      <c r="Y20" s="4">
        <v>0.61699999999999999</v>
      </c>
      <c r="Z20" s="9">
        <v>0.624</v>
      </c>
      <c r="AA20" s="9">
        <v>0.62</v>
      </c>
      <c r="AB20" s="9">
        <v>264.32</v>
      </c>
      <c r="AC20" s="9">
        <v>323.33999999999997</v>
      </c>
      <c r="AD20" s="4">
        <v>44.27</v>
      </c>
      <c r="AE20" s="4">
        <v>52.51</v>
      </c>
      <c r="AF20" s="9">
        <v>1400</v>
      </c>
      <c r="AG20" s="9">
        <v>1667</v>
      </c>
      <c r="AH20" s="4">
        <v>253500</v>
      </c>
      <c r="AI20" s="9">
        <v>0</v>
      </c>
      <c r="AJ20" s="9">
        <v>0</v>
      </c>
      <c r="AK20" s="4">
        <f t="shared" si="0"/>
        <v>253500</v>
      </c>
      <c r="AL20" s="5">
        <v>251318.0625</v>
      </c>
      <c r="AM20" s="5">
        <v>566.000244140625</v>
      </c>
      <c r="AN20" s="5">
        <v>69.984886169433594</v>
      </c>
      <c r="AO20" s="12"/>
    </row>
    <row r="21" spans="2:41">
      <c r="B21" s="20">
        <v>46041</v>
      </c>
      <c r="C21" s="13">
        <v>46042</v>
      </c>
      <c r="D21" s="6">
        <v>211.88690185546875</v>
      </c>
      <c r="E21" s="6">
        <v>596.4970703125</v>
      </c>
      <c r="F21" s="7">
        <v>419454.15625</v>
      </c>
      <c r="G21" s="7">
        <v>181475.53125</v>
      </c>
      <c r="H21" s="6">
        <v>45.690269470214844</v>
      </c>
      <c r="I21" s="6">
        <v>53.300930023193359</v>
      </c>
      <c r="J21" s="6">
        <v>59722.125</v>
      </c>
      <c r="K21" s="6">
        <v>196131.671875</v>
      </c>
      <c r="L21" s="6">
        <v>1497.8231201171875</v>
      </c>
      <c r="M21" s="6">
        <v>477.59835815429688</v>
      </c>
      <c r="N21" s="8">
        <v>0.61723172099661283</v>
      </c>
      <c r="O21" s="8">
        <v>0.61722356247476373</v>
      </c>
      <c r="P21" s="8">
        <v>0.61722546685087731</v>
      </c>
      <c r="Q21" s="8">
        <v>282.01197904295742</v>
      </c>
      <c r="R21" s="8">
        <v>328.98691417151463</v>
      </c>
      <c r="S21" s="4">
        <v>316.67423379691729</v>
      </c>
      <c r="T21" s="5">
        <v>256503.984375</v>
      </c>
      <c r="U21" s="5">
        <v>0</v>
      </c>
      <c r="V21" s="5">
        <v>0</v>
      </c>
      <c r="W21" s="5" t="s">
        <v>51</v>
      </c>
      <c r="X21" s="7">
        <v>255853.796875</v>
      </c>
      <c r="Y21" s="4">
        <v>0.61699999999999999</v>
      </c>
      <c r="Z21" s="9">
        <v>0.624</v>
      </c>
      <c r="AA21" s="9">
        <v>0.62</v>
      </c>
      <c r="AB21" s="9">
        <v>264.32</v>
      </c>
      <c r="AC21" s="9">
        <v>323.33999999999997</v>
      </c>
      <c r="AD21" s="4">
        <v>44.27</v>
      </c>
      <c r="AE21" s="4">
        <v>52.51</v>
      </c>
      <c r="AF21" s="9">
        <v>1400</v>
      </c>
      <c r="AG21" s="9">
        <v>1667</v>
      </c>
      <c r="AH21" s="4">
        <v>253500</v>
      </c>
      <c r="AI21" s="9">
        <v>0</v>
      </c>
      <c r="AJ21" s="9">
        <v>0</v>
      </c>
      <c r="AK21" s="4">
        <f t="shared" si="0"/>
        <v>253500</v>
      </c>
      <c r="AL21" s="5">
        <v>256503.984375</v>
      </c>
      <c r="AM21" s="5">
        <v>585.9910888671875</v>
      </c>
      <c r="AN21" s="5">
        <v>-1235.9852294921875</v>
      </c>
      <c r="AO21" s="12"/>
    </row>
    <row r="22" spans="2:41">
      <c r="B22" s="20">
        <v>46042</v>
      </c>
      <c r="C22" s="13">
        <v>46043</v>
      </c>
      <c r="D22" s="6">
        <v>221.81790161132813</v>
      </c>
      <c r="E22" s="6">
        <v>592.32000732421875</v>
      </c>
      <c r="F22" s="7">
        <v>419694</v>
      </c>
      <c r="G22" s="7">
        <v>182237.03125</v>
      </c>
      <c r="H22" s="6">
        <v>46.079967498779297</v>
      </c>
      <c r="I22" s="6">
        <v>54.639499664306641</v>
      </c>
      <c r="J22" s="6">
        <v>61340.6796875</v>
      </c>
      <c r="K22" s="6">
        <v>194224.1875</v>
      </c>
      <c r="L22" s="6">
        <v>1818.9306640625</v>
      </c>
      <c r="M22" s="6">
        <v>374.48971557617188</v>
      </c>
      <c r="N22" s="8">
        <v>0.60246888099255957</v>
      </c>
      <c r="O22" s="8">
        <v>0.60247581494096203</v>
      </c>
      <c r="P22" s="8">
        <v>0.60247415065358212</v>
      </c>
      <c r="Q22" s="8">
        <v>277.61989280971727</v>
      </c>
      <c r="R22" s="8">
        <v>329.18886152389831</v>
      </c>
      <c r="S22" s="4">
        <v>315.13851415290338</v>
      </c>
      <c r="T22" s="5">
        <v>255702.984375</v>
      </c>
      <c r="U22" s="5">
        <v>0</v>
      </c>
      <c r="V22" s="5">
        <v>0</v>
      </c>
      <c r="W22" s="5" t="s">
        <v>51</v>
      </c>
      <c r="X22" s="7">
        <v>255564.8671875</v>
      </c>
      <c r="Y22" s="4">
        <v>0.61699999999999999</v>
      </c>
      <c r="Z22" s="9">
        <v>0.624</v>
      </c>
      <c r="AA22" s="9">
        <v>0.62</v>
      </c>
      <c r="AB22" s="9">
        <v>264.32</v>
      </c>
      <c r="AC22" s="9">
        <v>323.33999999999997</v>
      </c>
      <c r="AD22" s="4">
        <v>44.27</v>
      </c>
      <c r="AE22" s="4">
        <v>52.51</v>
      </c>
      <c r="AF22" s="9">
        <v>1400</v>
      </c>
      <c r="AG22" s="9">
        <v>1667</v>
      </c>
      <c r="AH22" s="4">
        <v>253500</v>
      </c>
      <c r="AI22" s="9">
        <v>0</v>
      </c>
      <c r="AJ22" s="9">
        <v>0</v>
      </c>
      <c r="AK22" s="4">
        <f t="shared" si="0"/>
        <v>253500</v>
      </c>
      <c r="AL22" s="5">
        <v>255702.984375</v>
      </c>
      <c r="AM22" s="5">
        <v>-181.99809265136719</v>
      </c>
      <c r="AN22" s="5">
        <v>45.000045776367188</v>
      </c>
      <c r="AO22" s="12"/>
    </row>
    <row r="23" spans="2:41">
      <c r="B23" s="20">
        <v>46043</v>
      </c>
      <c r="C23" s="13">
        <v>46044</v>
      </c>
      <c r="D23" s="6">
        <v>218.77890014648438</v>
      </c>
      <c r="E23" s="6">
        <v>592.307861328125</v>
      </c>
      <c r="F23" s="7">
        <v>419705.90625</v>
      </c>
      <c r="G23" s="7">
        <v>182275.140625</v>
      </c>
      <c r="H23" s="6">
        <v>46.029769897460938</v>
      </c>
      <c r="I23" s="6">
        <v>53.91986083984375</v>
      </c>
      <c r="J23" s="6">
        <v>60874.71875</v>
      </c>
      <c r="K23" s="6">
        <v>193058.359375</v>
      </c>
      <c r="L23" s="6">
        <v>1862.9642333984375</v>
      </c>
      <c r="M23" s="6">
        <v>402.97894287109375</v>
      </c>
      <c r="N23" s="8">
        <v>0.60461325332436289</v>
      </c>
      <c r="O23" s="8">
        <v>0.60461382328414437</v>
      </c>
      <c r="P23" s="8">
        <v>0.60461368664925319</v>
      </c>
      <c r="Q23" s="8">
        <v>278.30228873320675</v>
      </c>
      <c r="R23" s="8">
        <v>326.00685845992632</v>
      </c>
      <c r="S23" s="4">
        <v>313.13924208088656</v>
      </c>
      <c r="T23" s="5">
        <v>253901.984375</v>
      </c>
      <c r="U23" s="5">
        <v>0</v>
      </c>
      <c r="V23" s="5">
        <v>0</v>
      </c>
      <c r="W23" s="5" t="s">
        <v>51</v>
      </c>
      <c r="X23" s="7">
        <v>253933.078125</v>
      </c>
      <c r="Y23" s="4">
        <v>0.61699999999999999</v>
      </c>
      <c r="Z23" s="9">
        <v>0.624</v>
      </c>
      <c r="AA23" s="9">
        <v>0.62</v>
      </c>
      <c r="AB23" s="9">
        <v>264.32</v>
      </c>
      <c r="AC23" s="9">
        <v>323.33999999999997</v>
      </c>
      <c r="AD23" s="4">
        <v>44.27</v>
      </c>
      <c r="AE23" s="4">
        <v>52.51</v>
      </c>
      <c r="AF23" s="9">
        <v>1400</v>
      </c>
      <c r="AG23" s="9">
        <v>1667</v>
      </c>
      <c r="AH23" s="4">
        <v>253500</v>
      </c>
      <c r="AI23" s="9">
        <v>0</v>
      </c>
      <c r="AJ23" s="9">
        <v>0</v>
      </c>
      <c r="AK23" s="4">
        <f t="shared" si="0"/>
        <v>253500</v>
      </c>
      <c r="AL23" s="5">
        <v>253901.984375</v>
      </c>
      <c r="AM23" s="5">
        <v>-17.000659942626953</v>
      </c>
      <c r="AN23" s="5">
        <v>48.999282836914063</v>
      </c>
      <c r="AO23" s="12"/>
    </row>
    <row r="24" spans="2:41">
      <c r="B24" s="20">
        <v>46044</v>
      </c>
      <c r="C24" s="13">
        <v>46045</v>
      </c>
      <c r="D24" s="6">
        <v>202.82693481445313</v>
      </c>
      <c r="E24" s="6">
        <v>603.62249755859375</v>
      </c>
      <c r="F24" s="7">
        <v>420998.3125</v>
      </c>
      <c r="G24" s="7">
        <v>186793.421875</v>
      </c>
      <c r="H24" s="6">
        <v>45.700187683105469</v>
      </c>
      <c r="I24" s="6">
        <v>53.719932556152344</v>
      </c>
      <c r="J24" s="6">
        <v>56155.93359375</v>
      </c>
      <c r="K24" s="6">
        <v>196451.796875</v>
      </c>
      <c r="L24" s="6">
        <v>1667.2366943359375</v>
      </c>
      <c r="M24" s="6">
        <v>588.73040771484375</v>
      </c>
      <c r="N24" s="8">
        <v>0.61977473980656317</v>
      </c>
      <c r="O24" s="8">
        <v>0.61976996327604816</v>
      </c>
      <c r="P24" s="8">
        <v>0.6197710251280083</v>
      </c>
      <c r="Q24" s="8">
        <v>283.23652168900657</v>
      </c>
      <c r="R24" s="8">
        <v>332.94057670134004</v>
      </c>
      <c r="S24" s="4">
        <v>320.43970470452382</v>
      </c>
      <c r="T24" s="5">
        <v>252693.03125</v>
      </c>
      <c r="U24" s="5">
        <v>0</v>
      </c>
      <c r="V24" s="5">
        <v>0</v>
      </c>
      <c r="W24" s="5" t="s">
        <v>51</v>
      </c>
      <c r="X24" s="7">
        <v>252607.73046875</v>
      </c>
      <c r="Y24" s="4">
        <v>0.61699999999999999</v>
      </c>
      <c r="Z24" s="9">
        <v>0.624</v>
      </c>
      <c r="AA24" s="9">
        <v>0.62</v>
      </c>
      <c r="AB24" s="9">
        <v>264.32</v>
      </c>
      <c r="AC24" s="9">
        <v>323.33999999999997</v>
      </c>
      <c r="AD24" s="4">
        <v>44.27</v>
      </c>
      <c r="AE24" s="4">
        <v>52.51</v>
      </c>
      <c r="AF24" s="9">
        <v>1400</v>
      </c>
      <c r="AG24" s="9">
        <v>1667</v>
      </c>
      <c r="AH24" s="4">
        <v>253500</v>
      </c>
      <c r="AI24" s="9">
        <v>0</v>
      </c>
      <c r="AJ24" s="9">
        <v>0</v>
      </c>
      <c r="AK24" s="4">
        <f t="shared" si="0"/>
        <v>253500</v>
      </c>
      <c r="AL24" s="5">
        <v>252693.03125</v>
      </c>
      <c r="AM24" s="5">
        <v>-73.9951171875</v>
      </c>
      <c r="AN24" s="5">
        <v>-13.001041412353516</v>
      </c>
      <c r="AO24" s="12"/>
    </row>
    <row r="25" spans="2:41">
      <c r="B25" s="20">
        <v>46045</v>
      </c>
      <c r="C25" s="13">
        <v>46046</v>
      </c>
      <c r="D25" s="6">
        <v>212.79377746582031</v>
      </c>
      <c r="E25" s="6">
        <v>607.1961669921875</v>
      </c>
      <c r="F25" s="7">
        <v>422904.78125</v>
      </c>
      <c r="G25" s="7">
        <v>193141.65625</v>
      </c>
      <c r="H25" s="6">
        <v>45.970180511474609</v>
      </c>
      <c r="I25" s="6">
        <v>53.620326995849609</v>
      </c>
      <c r="J25" s="6">
        <v>58934.16015625</v>
      </c>
      <c r="K25" s="6">
        <v>196152.46875</v>
      </c>
      <c r="L25" s="6">
        <v>1144.538818359375</v>
      </c>
      <c r="M25" s="6">
        <v>862.70111083984375</v>
      </c>
      <c r="N25" s="8">
        <v>0.62195442417141156</v>
      </c>
      <c r="O25" s="8">
        <v>0.6219680215286737</v>
      </c>
      <c r="P25" s="8">
        <v>0.62196488003292583</v>
      </c>
      <c r="Q25" s="8">
        <v>285.91837806911252</v>
      </c>
      <c r="R25" s="8">
        <v>333.49960247299856</v>
      </c>
      <c r="S25" s="4">
        <v>321.15190413135105</v>
      </c>
      <c r="T25" s="5">
        <v>254845.9375</v>
      </c>
      <c r="U25" s="5">
        <v>0</v>
      </c>
      <c r="V25" s="5">
        <v>0</v>
      </c>
      <c r="W25" s="5" t="s">
        <v>51</v>
      </c>
      <c r="X25" s="7">
        <v>255086.62890625</v>
      </c>
      <c r="Y25" s="4">
        <v>0.61699999999999999</v>
      </c>
      <c r="Z25" s="9">
        <v>0.624</v>
      </c>
      <c r="AA25" s="9">
        <v>0.62</v>
      </c>
      <c r="AB25" s="9">
        <v>264.32</v>
      </c>
      <c r="AC25" s="9">
        <v>323.33999999999997</v>
      </c>
      <c r="AD25" s="4">
        <v>44.27</v>
      </c>
      <c r="AE25" s="4">
        <v>52.51</v>
      </c>
      <c r="AF25" s="9">
        <v>1400</v>
      </c>
      <c r="AG25" s="9">
        <v>1667</v>
      </c>
      <c r="AH25" s="4">
        <v>253500</v>
      </c>
      <c r="AI25" s="9">
        <v>0</v>
      </c>
      <c r="AJ25" s="9">
        <v>0</v>
      </c>
      <c r="AK25" s="4">
        <f t="shared" si="0"/>
        <v>253500</v>
      </c>
      <c r="AL25" s="5">
        <v>254845.9375</v>
      </c>
      <c r="AM25" s="5">
        <v>347.9927978515625</v>
      </c>
      <c r="AN25" s="5">
        <v>-102.99983978271484</v>
      </c>
      <c r="AO25" s="12"/>
    </row>
    <row r="26" spans="2:41">
      <c r="B26" s="20">
        <v>46046</v>
      </c>
      <c r="C26" s="13">
        <v>46047</v>
      </c>
      <c r="D26" s="6">
        <v>203.84576416015625</v>
      </c>
      <c r="E26" s="6">
        <v>615.98455810546875</v>
      </c>
      <c r="F26" s="7">
        <v>421132.8125</v>
      </c>
      <c r="G26" s="7">
        <v>186879.25</v>
      </c>
      <c r="H26" s="6">
        <v>46.229846954345703</v>
      </c>
      <c r="I26" s="6">
        <v>54.090007781982422</v>
      </c>
      <c r="J26" s="6">
        <v>54852.59375</v>
      </c>
      <c r="K26" s="6">
        <v>193933.984375</v>
      </c>
      <c r="L26" s="6">
        <v>1344.4490966796875</v>
      </c>
      <c r="M26" s="6">
        <v>792.333984375</v>
      </c>
      <c r="N26" s="8">
        <v>0.56326385184790206</v>
      </c>
      <c r="O26" s="8">
        <v>0.56326353562627784</v>
      </c>
      <c r="P26" s="8">
        <v>0.56326360534623843</v>
      </c>
      <c r="Q26" s="8">
        <v>260.39590270109579</v>
      </c>
      <c r="R26" s="8">
        <v>304.66932796485514</v>
      </c>
      <c r="S26" s="4">
        <v>293.66101324439217</v>
      </c>
      <c r="T26" s="5">
        <v>249151.953125</v>
      </c>
      <c r="U26" s="5">
        <v>0</v>
      </c>
      <c r="V26" s="5">
        <v>0</v>
      </c>
      <c r="W26" s="5" t="s">
        <v>51</v>
      </c>
      <c r="X26" s="7">
        <v>248786.578125</v>
      </c>
      <c r="Y26" s="4">
        <v>0.61699999999999999</v>
      </c>
      <c r="Z26" s="9">
        <v>0.624</v>
      </c>
      <c r="AA26" s="9">
        <v>0.62</v>
      </c>
      <c r="AB26" s="9">
        <v>264.32</v>
      </c>
      <c r="AC26" s="9">
        <v>323.33999999999997</v>
      </c>
      <c r="AD26" s="4">
        <v>44.27</v>
      </c>
      <c r="AE26" s="4">
        <v>52.51</v>
      </c>
      <c r="AF26" s="9">
        <v>1400</v>
      </c>
      <c r="AG26" s="9">
        <v>1667</v>
      </c>
      <c r="AH26" s="4">
        <v>253500</v>
      </c>
      <c r="AI26" s="9">
        <v>0</v>
      </c>
      <c r="AJ26" s="9">
        <v>0</v>
      </c>
      <c r="AK26" s="4">
        <f t="shared" si="0"/>
        <v>253500</v>
      </c>
      <c r="AL26" s="5">
        <v>249151.953125</v>
      </c>
      <c r="AM26" s="5">
        <v>-274.00021362304688</v>
      </c>
      <c r="AN26" s="5">
        <v>-88.997688293457031</v>
      </c>
      <c r="AO26" s="12"/>
    </row>
    <row r="27" spans="2:41">
      <c r="B27" s="20">
        <v>46047</v>
      </c>
      <c r="C27" s="13">
        <v>46048</v>
      </c>
      <c r="D27" s="6">
        <v>212.15194702148438</v>
      </c>
      <c r="E27" s="6">
        <v>507.50253295898438</v>
      </c>
      <c r="F27" s="7">
        <v>415121.75</v>
      </c>
      <c r="G27" s="7">
        <v>169973.15625</v>
      </c>
      <c r="H27" s="6">
        <v>46.010025024414063</v>
      </c>
      <c r="I27" s="6">
        <v>54.100093841552734</v>
      </c>
      <c r="J27" s="6">
        <v>64330.00390625</v>
      </c>
      <c r="K27" s="6">
        <v>180943.171875</v>
      </c>
      <c r="L27" s="6">
        <v>1558.9752197265625</v>
      </c>
      <c r="M27" s="6">
        <v>726.264404296875</v>
      </c>
      <c r="N27" s="8">
        <v>0.59746179706875191</v>
      </c>
      <c r="O27" s="8">
        <v>0.59745581481328514</v>
      </c>
      <c r="P27" s="8">
        <v>0.5974573838116406</v>
      </c>
      <c r="Q27" s="8">
        <v>274.89029180194541</v>
      </c>
      <c r="R27" s="8">
        <v>323.22500530538349</v>
      </c>
      <c r="S27" s="4">
        <v>308.97607910018803</v>
      </c>
      <c r="T27" s="5">
        <v>245472.703125</v>
      </c>
      <c r="U27" s="5">
        <v>0</v>
      </c>
      <c r="V27" s="5">
        <v>0</v>
      </c>
      <c r="W27" s="5" t="s">
        <v>51</v>
      </c>
      <c r="X27" s="7">
        <v>245273.17578125</v>
      </c>
      <c r="Y27" s="4">
        <v>0.61699999999999999</v>
      </c>
      <c r="Z27" s="9">
        <v>0.624</v>
      </c>
      <c r="AA27" s="9">
        <v>0.62</v>
      </c>
      <c r="AB27" s="9">
        <v>264.32</v>
      </c>
      <c r="AC27" s="9">
        <v>323.33999999999997</v>
      </c>
      <c r="AD27" s="4">
        <v>44.27</v>
      </c>
      <c r="AE27" s="4">
        <v>52.51</v>
      </c>
      <c r="AF27" s="9">
        <v>1400</v>
      </c>
      <c r="AG27" s="9">
        <v>1667</v>
      </c>
      <c r="AH27" s="4">
        <v>253500</v>
      </c>
      <c r="AI27" s="9">
        <v>0</v>
      </c>
      <c r="AJ27" s="9">
        <v>0</v>
      </c>
      <c r="AK27" s="4">
        <f t="shared" si="0"/>
        <v>253500</v>
      </c>
      <c r="AL27" s="5">
        <v>245472.703125</v>
      </c>
      <c r="AM27" s="5">
        <v>-292.9991455078125</v>
      </c>
      <c r="AN27" s="5">
        <v>110.99919128417969</v>
      </c>
      <c r="AO27" s="12"/>
    </row>
    <row r="28" spans="2:41">
      <c r="B28" s="20">
        <v>46048</v>
      </c>
      <c r="C28" s="13">
        <v>46049</v>
      </c>
      <c r="D28" s="6">
        <v>214.95138549804688</v>
      </c>
      <c r="E28" s="6">
        <v>597.4866943359375</v>
      </c>
      <c r="F28" s="7">
        <v>414756.625</v>
      </c>
      <c r="G28" s="7">
        <v>168776.078125</v>
      </c>
      <c r="H28" s="6">
        <v>46.050075531005859</v>
      </c>
      <c r="I28" s="6">
        <v>54.239765167236328</v>
      </c>
      <c r="J28" s="6">
        <v>51385.88671875</v>
      </c>
      <c r="K28" s="6">
        <v>168237.4375</v>
      </c>
      <c r="L28" s="6">
        <v>1523.3798828125</v>
      </c>
      <c r="M28" s="6">
        <v>905.1328125</v>
      </c>
      <c r="N28" s="8">
        <v>0.51543789239900595</v>
      </c>
      <c r="O28" s="8">
        <v>0.51543674628936831</v>
      </c>
      <c r="P28" s="8">
        <v>0.51543701444944579</v>
      </c>
      <c r="Q28" s="8">
        <v>237.35913446873138</v>
      </c>
      <c r="R28" s="8">
        <v>279.57182622239338</v>
      </c>
      <c r="S28" s="4">
        <v>268.40337313867559</v>
      </c>
      <c r="T28" s="5">
        <v>219803.984375</v>
      </c>
      <c r="U28" s="5">
        <v>0</v>
      </c>
      <c r="V28" s="5">
        <v>0</v>
      </c>
      <c r="W28" s="5" t="s">
        <v>51</v>
      </c>
      <c r="X28" s="7">
        <v>219623.32421875</v>
      </c>
      <c r="Y28" s="4">
        <v>0.61699999999999999</v>
      </c>
      <c r="Z28" s="9">
        <v>0.624</v>
      </c>
      <c r="AA28" s="9">
        <v>0.62</v>
      </c>
      <c r="AB28" s="9">
        <v>264.32</v>
      </c>
      <c r="AC28" s="9">
        <v>323.33999999999997</v>
      </c>
      <c r="AD28" s="4">
        <v>44.27</v>
      </c>
      <c r="AE28" s="4">
        <v>52.51</v>
      </c>
      <c r="AF28" s="9">
        <v>1400</v>
      </c>
      <c r="AG28" s="9">
        <v>1667</v>
      </c>
      <c r="AH28" s="4">
        <v>253500</v>
      </c>
      <c r="AI28" s="9">
        <v>0</v>
      </c>
      <c r="AJ28" s="9">
        <v>0</v>
      </c>
      <c r="AK28" s="4">
        <f t="shared" si="0"/>
        <v>253500</v>
      </c>
      <c r="AL28" s="5">
        <v>219803.984375</v>
      </c>
      <c r="AM28" s="5">
        <v>-219.02473449707031</v>
      </c>
      <c r="AN28" s="5">
        <v>40.998542785644531</v>
      </c>
      <c r="AO28" s="12"/>
    </row>
    <row r="29" spans="2:41">
      <c r="B29" s="20">
        <v>46049</v>
      </c>
      <c r="C29" s="13">
        <v>46050</v>
      </c>
      <c r="D29" s="6">
        <v>202.54832458496094</v>
      </c>
      <c r="E29" s="6">
        <v>578.341064453125</v>
      </c>
      <c r="F29" s="7">
        <v>419969.4375</v>
      </c>
      <c r="G29" s="7">
        <v>186157.734375</v>
      </c>
      <c r="H29" s="6">
        <v>46.159992218017578</v>
      </c>
      <c r="I29" s="6">
        <v>53.900299072265625</v>
      </c>
      <c r="J29" s="6">
        <v>49790.52734375</v>
      </c>
      <c r="K29" s="6">
        <v>166006.5</v>
      </c>
      <c r="L29" s="6">
        <v>1638.3114013671875</v>
      </c>
      <c r="M29" s="6">
        <v>764.938720703125</v>
      </c>
      <c r="N29" s="8">
        <v>0.58829435193848856</v>
      </c>
      <c r="O29" s="8">
        <v>0.58829624897777266</v>
      </c>
      <c r="P29" s="8">
        <v>0.58829581127862229</v>
      </c>
      <c r="Q29" s="8">
        <v>271.55730070513539</v>
      </c>
      <c r="R29" s="8">
        <v>317.0932017087888</v>
      </c>
      <c r="S29" s="4">
        <v>305.28202769844916</v>
      </c>
      <c r="T29" s="5">
        <v>218216.3125</v>
      </c>
      <c r="U29" s="5">
        <v>0</v>
      </c>
      <c r="V29" s="5">
        <v>0</v>
      </c>
      <c r="W29" s="5" t="s">
        <v>51</v>
      </c>
      <c r="X29" s="7">
        <v>215797.02734375</v>
      </c>
      <c r="Y29" s="4">
        <v>0.61699999999999999</v>
      </c>
      <c r="Z29" s="9">
        <v>0.624</v>
      </c>
      <c r="AA29" s="9">
        <v>0.62</v>
      </c>
      <c r="AB29" s="9">
        <v>264.32</v>
      </c>
      <c r="AC29" s="9">
        <v>323.33999999999997</v>
      </c>
      <c r="AD29" s="4">
        <v>44.27</v>
      </c>
      <c r="AE29" s="4">
        <v>52.51</v>
      </c>
      <c r="AF29" s="9">
        <v>1400</v>
      </c>
      <c r="AG29" s="9">
        <v>1667</v>
      </c>
      <c r="AH29" s="4">
        <v>253500</v>
      </c>
      <c r="AI29" s="9">
        <v>0</v>
      </c>
      <c r="AJ29" s="9">
        <v>0</v>
      </c>
      <c r="AK29" s="4">
        <f t="shared" si="0"/>
        <v>253500</v>
      </c>
      <c r="AL29" s="5">
        <v>218216.3125</v>
      </c>
      <c r="AM29" s="5">
        <v>-2355.941162109375</v>
      </c>
      <c r="AN29" s="5">
        <v>-84.998703002929688</v>
      </c>
      <c r="AO29" s="12"/>
    </row>
    <row r="30" spans="2:41">
      <c r="B30" s="20">
        <v>46050</v>
      </c>
      <c r="C30" s="13">
        <v>46051</v>
      </c>
      <c r="D30" s="6">
        <v>214.53350830078125</v>
      </c>
      <c r="E30" s="6">
        <v>579.868408203125</v>
      </c>
      <c r="F30" s="7">
        <v>423469.34375</v>
      </c>
      <c r="G30" s="7">
        <v>197291.484375</v>
      </c>
      <c r="H30" s="6">
        <v>46.149940490722656</v>
      </c>
      <c r="I30" s="6">
        <v>54.329944610595703</v>
      </c>
      <c r="J30" s="6">
        <v>59180.0078125</v>
      </c>
      <c r="K30" s="6">
        <v>188310.203125</v>
      </c>
      <c r="L30" s="6">
        <v>1655.1181640625</v>
      </c>
      <c r="M30" s="6">
        <v>259.5611572265625</v>
      </c>
      <c r="N30" s="8">
        <v>0.6330851288839896</v>
      </c>
      <c r="O30" s="8">
        <v>0.63307062554379445</v>
      </c>
      <c r="P30" s="8">
        <v>0.63307409356935362</v>
      </c>
      <c r="Q30" s="8">
        <v>292.16331744443858</v>
      </c>
      <c r="R30" s="8">
        <v>343.94880438026064</v>
      </c>
      <c r="S30" s="4">
        <v>329.9637900435643</v>
      </c>
      <c r="T30" s="5">
        <v>244724.0625</v>
      </c>
      <c r="U30" s="5">
        <v>0</v>
      </c>
      <c r="V30" s="5">
        <v>0</v>
      </c>
      <c r="W30" s="5" t="s">
        <v>51</v>
      </c>
      <c r="X30" s="7">
        <v>247490.2109375</v>
      </c>
      <c r="Y30" s="4">
        <v>0.61699999999999999</v>
      </c>
      <c r="Z30" s="9">
        <v>0.624</v>
      </c>
      <c r="AA30" s="9">
        <v>0.62</v>
      </c>
      <c r="AB30" s="9">
        <v>264.32</v>
      </c>
      <c r="AC30" s="9">
        <v>323.33999999999997</v>
      </c>
      <c r="AD30" s="4">
        <v>44.27</v>
      </c>
      <c r="AE30" s="4">
        <v>52.51</v>
      </c>
      <c r="AF30" s="9">
        <v>1400</v>
      </c>
      <c r="AG30" s="9">
        <v>1667</v>
      </c>
      <c r="AH30" s="4">
        <v>253500</v>
      </c>
      <c r="AI30" s="9">
        <v>0</v>
      </c>
      <c r="AJ30" s="9">
        <v>0</v>
      </c>
      <c r="AK30" s="4">
        <f t="shared" si="0"/>
        <v>253500</v>
      </c>
      <c r="AL30" s="5">
        <v>244724.0625</v>
      </c>
      <c r="AM30" s="5">
        <v>2737.960693359375</v>
      </c>
      <c r="AN30" s="5">
        <v>26.999883651733398</v>
      </c>
      <c r="AO30" s="12"/>
    </row>
    <row r="31" spans="2:41">
      <c r="B31" s="20">
        <v>46051</v>
      </c>
      <c r="C31" s="13">
        <v>46052</v>
      </c>
      <c r="D31" s="6">
        <v>205.20634460449219</v>
      </c>
      <c r="E31" s="6">
        <v>577.59112548828125</v>
      </c>
      <c r="F31" s="7">
        <v>421072.625</v>
      </c>
      <c r="G31" s="7">
        <v>189347.671875</v>
      </c>
      <c r="H31" s="6">
        <v>46.059986114501953</v>
      </c>
      <c r="I31" s="6">
        <v>54.249786376953125</v>
      </c>
      <c r="J31" s="6">
        <v>57756.5</v>
      </c>
      <c r="K31" s="6">
        <v>191469.765625</v>
      </c>
      <c r="L31" s="6">
        <v>2400.794189453125</v>
      </c>
      <c r="M31" s="6">
        <v>376.35311889648438</v>
      </c>
      <c r="N31" s="8">
        <v>0.58570614220733963</v>
      </c>
      <c r="O31" s="8">
        <v>0.58570501691095</v>
      </c>
      <c r="P31" s="8">
        <v>0.58570527768864022</v>
      </c>
      <c r="Q31" s="8">
        <v>269.77576957529277</v>
      </c>
      <c r="R31" s="8">
        <v>317.74386194462744</v>
      </c>
      <c r="S31" s="4">
        <v>305.169272387516</v>
      </c>
      <c r="T31" s="5">
        <v>249864.984375</v>
      </c>
      <c r="U31" s="5">
        <v>0</v>
      </c>
      <c r="V31" s="5">
        <v>0</v>
      </c>
      <c r="W31" s="5" t="s">
        <v>51</v>
      </c>
      <c r="X31" s="7">
        <v>249226.265625</v>
      </c>
      <c r="Y31" s="4">
        <v>0.61699999999999999</v>
      </c>
      <c r="Z31" s="9">
        <v>0.624</v>
      </c>
      <c r="AA31" s="9">
        <v>0.62</v>
      </c>
      <c r="AB31" s="9">
        <v>264.32</v>
      </c>
      <c r="AC31" s="9">
        <v>323.33999999999997</v>
      </c>
      <c r="AD31" s="4">
        <v>44.27</v>
      </c>
      <c r="AE31" s="4">
        <v>52.51</v>
      </c>
      <c r="AF31" s="9">
        <v>1400</v>
      </c>
      <c r="AG31" s="9">
        <v>1667</v>
      </c>
      <c r="AH31" s="4">
        <v>253500</v>
      </c>
      <c r="AI31" s="9">
        <v>0</v>
      </c>
      <c r="AJ31" s="9">
        <v>0</v>
      </c>
      <c r="AK31" s="4">
        <f t="shared" si="0"/>
        <v>253500</v>
      </c>
      <c r="AL31" s="5">
        <v>249864.984375</v>
      </c>
      <c r="AM31" s="5">
        <v>-655.98394775390625</v>
      </c>
      <c r="AN31" s="5">
        <v>16.999965667724609</v>
      </c>
      <c r="AO31" s="12"/>
    </row>
    <row r="32" spans="2:41">
      <c r="B32" s="20">
        <v>46052</v>
      </c>
      <c r="C32" s="13">
        <v>46053</v>
      </c>
      <c r="D32" s="6">
        <v>214.38764953613281</v>
      </c>
      <c r="E32" s="6">
        <v>579.1424560546875</v>
      </c>
      <c r="F32" s="7">
        <v>419106.40625</v>
      </c>
      <c r="G32" s="7">
        <v>183121.171875</v>
      </c>
      <c r="H32" s="6">
        <v>46.039680480957031</v>
      </c>
      <c r="I32" s="6">
        <v>53.939861297607422</v>
      </c>
      <c r="J32" s="6">
        <v>59929.42578125</v>
      </c>
      <c r="K32" s="6">
        <v>189672.734375</v>
      </c>
      <c r="L32" s="6">
        <v>2391.98095703125</v>
      </c>
      <c r="M32" s="6">
        <v>438.38015747070313</v>
      </c>
      <c r="N32" s="8">
        <v>0.58724637233003552</v>
      </c>
      <c r="O32" s="8">
        <v>0.58723721783342053</v>
      </c>
      <c r="P32" s="8">
        <v>0.58723941583236261</v>
      </c>
      <c r="Q32" s="8">
        <v>270.36315070745837</v>
      </c>
      <c r="R32" s="8">
        <v>316.75612638485643</v>
      </c>
      <c r="S32" s="4">
        <v>304.22215830930492</v>
      </c>
      <c r="T32" s="5">
        <v>248856.046875</v>
      </c>
      <c r="U32" s="5">
        <v>0</v>
      </c>
      <c r="V32" s="5">
        <v>0</v>
      </c>
      <c r="W32" s="5" t="s">
        <v>51</v>
      </c>
      <c r="X32" s="7">
        <v>249602.16015625</v>
      </c>
      <c r="Y32" s="4">
        <v>0.61699999999999999</v>
      </c>
      <c r="Z32" s="9">
        <v>0.624</v>
      </c>
      <c r="AA32" s="9">
        <v>0.62</v>
      </c>
      <c r="AB32" s="9">
        <v>264.32</v>
      </c>
      <c r="AC32" s="9">
        <v>323.33999999999997</v>
      </c>
      <c r="AD32" s="4">
        <v>44.27</v>
      </c>
      <c r="AE32" s="4">
        <v>52.51</v>
      </c>
      <c r="AF32" s="9">
        <v>1400</v>
      </c>
      <c r="AG32" s="9">
        <v>1667</v>
      </c>
      <c r="AH32" s="4">
        <v>253500</v>
      </c>
      <c r="AI32" s="9">
        <v>0</v>
      </c>
      <c r="AJ32" s="9">
        <v>0</v>
      </c>
      <c r="AK32" s="4">
        <f t="shared" si="0"/>
        <v>253500</v>
      </c>
      <c r="AL32" s="5">
        <v>248856.046875</v>
      </c>
      <c r="AM32" s="5">
        <v>729.99176025390625</v>
      </c>
      <c r="AN32" s="5">
        <v>14.000462532043457</v>
      </c>
    </row>
    <row r="33" spans="2:40">
      <c r="B33" s="20">
        <v>46053</v>
      </c>
      <c r="C33" s="13">
        <v>46054</v>
      </c>
      <c r="D33" s="6">
        <v>282.96517944335938</v>
      </c>
      <c r="E33" s="6">
        <v>539.51055908203125</v>
      </c>
      <c r="F33" s="7">
        <v>421134.1875</v>
      </c>
      <c r="G33" s="7">
        <v>187678.75</v>
      </c>
      <c r="H33" s="6">
        <v>45.579944610595703</v>
      </c>
      <c r="I33" s="6">
        <v>53.739841461181641</v>
      </c>
      <c r="J33" s="6">
        <v>77807.1171875</v>
      </c>
      <c r="K33" s="6">
        <v>174907.421875</v>
      </c>
      <c r="L33" s="6">
        <v>1644.8890380859375</v>
      </c>
      <c r="M33" s="6">
        <v>395.83279418945313</v>
      </c>
      <c r="N33" s="8">
        <v>0.61899335635855535</v>
      </c>
      <c r="O33" s="8">
        <v>0.61898971575331696</v>
      </c>
      <c r="P33" s="8">
        <v>0.61899083664140098</v>
      </c>
      <c r="Q33" s="8">
        <v>282.13568048581351</v>
      </c>
      <c r="R33" s="8">
        <v>332.64469427033072</v>
      </c>
      <c r="S33" s="4">
        <v>315.26753470247826</v>
      </c>
      <c r="T33" s="5">
        <v>252644.9375</v>
      </c>
      <c r="U33" s="5">
        <v>0</v>
      </c>
      <c r="V33" s="5">
        <v>0</v>
      </c>
      <c r="W33" s="5" t="s">
        <v>51</v>
      </c>
      <c r="X33" s="7">
        <v>252714.5390625</v>
      </c>
      <c r="Y33" s="4">
        <v>0.61699999999999999</v>
      </c>
      <c r="Z33" s="9">
        <v>0.624</v>
      </c>
      <c r="AA33" s="9">
        <v>0.62</v>
      </c>
      <c r="AB33" s="9">
        <v>264.32</v>
      </c>
      <c r="AC33" s="9">
        <v>323.33999999999997</v>
      </c>
      <c r="AD33" s="4">
        <v>44.27</v>
      </c>
      <c r="AE33" s="4">
        <v>52.51</v>
      </c>
      <c r="AF33" s="9">
        <v>1400</v>
      </c>
      <c r="AG33" s="9">
        <v>1667</v>
      </c>
      <c r="AH33" s="4">
        <v>253500</v>
      </c>
      <c r="AI33" s="9">
        <v>0</v>
      </c>
      <c r="AJ33" s="9">
        <v>0</v>
      </c>
      <c r="AK33" s="4">
        <f t="shared" si="0"/>
        <v>253500</v>
      </c>
      <c r="AL33" s="5">
        <v>252644.9375</v>
      </c>
      <c r="AM33" s="5">
        <v>19.002523422241211</v>
      </c>
      <c r="AN33" s="5">
        <v>53.998332977294922</v>
      </c>
    </row>
    <row r="34" spans="2:40">
      <c r="B34" s="20">
        <v>46054</v>
      </c>
      <c r="C34" s="13">
        <v>46055</v>
      </c>
      <c r="D34" s="6">
        <v>276.04000854492188</v>
      </c>
      <c r="E34" s="6">
        <v>554.739990234375</v>
      </c>
      <c r="F34" s="7">
        <v>418546</v>
      </c>
      <c r="G34" s="7">
        <v>181563</v>
      </c>
      <c r="H34" s="6">
        <v>45.5</v>
      </c>
      <c r="I34" s="6">
        <v>53.509998321533203</v>
      </c>
      <c r="J34" s="6">
        <v>73655</v>
      </c>
      <c r="K34" s="6">
        <v>174079</v>
      </c>
      <c r="L34" s="6">
        <v>1485.199951171875</v>
      </c>
      <c r="M34" s="6">
        <v>975.46002197265625</v>
      </c>
      <c r="N34" s="8">
        <v>0.56582666232557632</v>
      </c>
      <c r="O34" s="8">
        <v>0.56583506524727811</v>
      </c>
      <c r="P34" s="8">
        <v>0.56583256692097361</v>
      </c>
      <c r="Q34" s="8">
        <v>257.45381794904301</v>
      </c>
      <c r="R34" s="8">
        <v>302.7769970621012</v>
      </c>
      <c r="S34" s="4">
        <v>287.71764227739936</v>
      </c>
      <c r="T34" s="5">
        <v>244715</v>
      </c>
      <c r="U34" s="5">
        <v>0</v>
      </c>
      <c r="V34" s="5">
        <v>0</v>
      </c>
      <c r="W34" s="5" t="s">
        <v>51</v>
      </c>
      <c r="X34" s="7">
        <v>247734</v>
      </c>
      <c r="Y34" s="4">
        <v>0.61699999999999999</v>
      </c>
      <c r="Z34" s="9">
        <v>0.624</v>
      </c>
      <c r="AA34" s="9">
        <v>0.62</v>
      </c>
      <c r="AB34" s="9">
        <v>264.32</v>
      </c>
      <c r="AC34" s="9">
        <v>323.33999999999997</v>
      </c>
      <c r="AD34" s="4">
        <v>44.27</v>
      </c>
      <c r="AE34" s="4">
        <v>52.51</v>
      </c>
      <c r="AF34" s="9">
        <v>1072</v>
      </c>
      <c r="AG34" s="9">
        <v>830</v>
      </c>
      <c r="AH34" s="4">
        <v>252143</v>
      </c>
      <c r="AI34" s="9">
        <v>0</v>
      </c>
      <c r="AJ34" s="9">
        <v>0</v>
      </c>
      <c r="AK34" s="4">
        <f t="shared" si="0"/>
        <v>252143</v>
      </c>
      <c r="AL34" s="5">
        <v>244715</v>
      </c>
      <c r="AM34" s="5">
        <v>2738</v>
      </c>
      <c r="AN34" s="5">
        <v>36</v>
      </c>
    </row>
    <row r="35" spans="2:40">
      <c r="B35" s="20">
        <v>46055</v>
      </c>
      <c r="C35" s="13">
        <v>46056</v>
      </c>
      <c r="D35" s="6">
        <v>280.66000366210938</v>
      </c>
      <c r="E35" s="6">
        <v>557.8699951171875</v>
      </c>
      <c r="F35" s="7">
        <v>420263</v>
      </c>
      <c r="G35" s="7">
        <v>185588</v>
      </c>
      <c r="H35" s="6">
        <v>45.380001068115234</v>
      </c>
      <c r="I35" s="6">
        <v>53.540000915527344</v>
      </c>
      <c r="J35" s="6">
        <v>73446</v>
      </c>
      <c r="K35" s="6">
        <v>172239</v>
      </c>
      <c r="L35" s="6">
        <v>1156.5999755859375</v>
      </c>
      <c r="M35" s="6">
        <v>975.95001220703125</v>
      </c>
      <c r="N35" s="8">
        <v>0.59014546969086346</v>
      </c>
      <c r="O35" s="8">
        <v>0.59013618326867645</v>
      </c>
      <c r="P35" s="8">
        <v>0.59013895937327443</v>
      </c>
      <c r="Q35" s="8">
        <v>267.80506606695604</v>
      </c>
      <c r="R35" s="8">
        <v>315.96040425133469</v>
      </c>
      <c r="S35" s="4">
        <v>299.84258209726397</v>
      </c>
      <c r="T35" s="5">
        <v>245886</v>
      </c>
      <c r="U35" s="5">
        <v>0</v>
      </c>
      <c r="V35" s="5">
        <v>0</v>
      </c>
      <c r="W35" s="5" t="s">
        <v>51</v>
      </c>
      <c r="X35" s="7">
        <v>245685</v>
      </c>
      <c r="Y35" s="4">
        <v>0.61699999999999999</v>
      </c>
      <c r="Z35" s="9">
        <v>0.624</v>
      </c>
      <c r="AA35" s="9">
        <v>0.62</v>
      </c>
      <c r="AB35" s="9">
        <v>264.32</v>
      </c>
      <c r="AC35" s="9">
        <v>323.33999999999997</v>
      </c>
      <c r="AD35" s="4">
        <v>44.27</v>
      </c>
      <c r="AE35" s="4">
        <v>52.51</v>
      </c>
      <c r="AF35" s="9">
        <v>1072</v>
      </c>
      <c r="AG35" s="9">
        <v>830</v>
      </c>
      <c r="AH35" s="4">
        <v>252143</v>
      </c>
      <c r="AI35" s="9">
        <v>0</v>
      </c>
      <c r="AJ35" s="9">
        <v>0</v>
      </c>
      <c r="AK35" s="4">
        <f t="shared" si="0"/>
        <v>252143</v>
      </c>
      <c r="AL35" s="5">
        <v>245886</v>
      </c>
      <c r="AM35" s="5">
        <v>-219</v>
      </c>
      <c r="AN35" s="5">
        <v>18</v>
      </c>
    </row>
    <row r="36" spans="2:40">
      <c r="B36" s="20">
        <v>46056</v>
      </c>
      <c r="C36" s="13">
        <v>46057</v>
      </c>
      <c r="D36" s="6">
        <v>268.04998779296875</v>
      </c>
      <c r="E36" s="6">
        <v>525.20001220703125</v>
      </c>
      <c r="F36" s="7">
        <v>425578</v>
      </c>
      <c r="G36" s="7">
        <v>197764</v>
      </c>
      <c r="H36" s="6">
        <v>45.75</v>
      </c>
      <c r="I36" s="6">
        <v>53.490001678466797</v>
      </c>
      <c r="J36" s="6">
        <v>63090</v>
      </c>
      <c r="K36" s="6">
        <v>144529</v>
      </c>
      <c r="L36" s="6">
        <v>1003.5999755859375</v>
      </c>
      <c r="M36" s="6">
        <v>857.34002685546875</v>
      </c>
      <c r="N36" s="8">
        <v>0.55780314304115086</v>
      </c>
      <c r="O36" s="8">
        <v>0.55780899690735641</v>
      </c>
      <c r="P36" s="8">
        <v>0.55780721805860189</v>
      </c>
      <c r="Q36" s="8">
        <v>255.19680226181038</v>
      </c>
      <c r="R36" s="8">
        <v>298.3710903021551</v>
      </c>
      <c r="S36" s="4">
        <v>283.78190986448158</v>
      </c>
      <c r="T36" s="5">
        <v>206677</v>
      </c>
      <c r="U36" s="5">
        <v>0</v>
      </c>
      <c r="V36" s="5">
        <v>0</v>
      </c>
      <c r="W36" s="5" t="s">
        <v>51</v>
      </c>
      <c r="X36" s="7">
        <v>207619</v>
      </c>
      <c r="Y36" s="4">
        <v>0.61699999999999999</v>
      </c>
      <c r="Z36" s="9">
        <v>0.624</v>
      </c>
      <c r="AA36" s="9">
        <v>0.62</v>
      </c>
      <c r="AB36" s="9">
        <v>264.32</v>
      </c>
      <c r="AC36" s="9">
        <v>323.33999999999997</v>
      </c>
      <c r="AD36" s="4">
        <v>44.27</v>
      </c>
      <c r="AE36" s="4">
        <v>52.51</v>
      </c>
      <c r="AF36" s="9">
        <v>1072</v>
      </c>
      <c r="AG36" s="9">
        <v>830</v>
      </c>
      <c r="AH36" s="4">
        <v>252143</v>
      </c>
      <c r="AI36" s="9">
        <v>0</v>
      </c>
      <c r="AJ36" s="9">
        <v>0</v>
      </c>
      <c r="AK36" s="4">
        <f t="shared" si="0"/>
        <v>252143</v>
      </c>
      <c r="AL36" s="5">
        <v>206677</v>
      </c>
      <c r="AM36" s="5">
        <v>-19</v>
      </c>
      <c r="AN36" s="5">
        <v>961</v>
      </c>
    </row>
    <row r="37" spans="2:40">
      <c r="B37" s="20">
        <v>46057</v>
      </c>
      <c r="C37" s="13">
        <v>46058</v>
      </c>
      <c r="D37" s="6">
        <v>253.52999877929688</v>
      </c>
      <c r="E37" s="6">
        <v>447.1400146484375</v>
      </c>
      <c r="F37" s="7">
        <v>420682</v>
      </c>
      <c r="G37" s="7">
        <v>187674</v>
      </c>
      <c r="H37" s="6">
        <v>45.869998931884766</v>
      </c>
      <c r="I37" s="6">
        <v>53.599998474121094</v>
      </c>
      <c r="J37" s="6">
        <v>70125</v>
      </c>
      <c r="K37" s="6">
        <v>144518</v>
      </c>
      <c r="L37" s="6">
        <v>1198.5999755859375</v>
      </c>
      <c r="M37" s="6">
        <v>1084.47998046875</v>
      </c>
      <c r="N37" s="8">
        <v>0.56089637886592292</v>
      </c>
      <c r="O37" s="8">
        <v>0.56089481233206262</v>
      </c>
      <c r="P37" s="8">
        <v>0.56089532412601428</v>
      </c>
      <c r="Q37" s="8">
        <v>257.28267918559436</v>
      </c>
      <c r="R37" s="8">
        <v>300.63988517296019</v>
      </c>
      <c r="S37" s="4">
        <v>284.95154091618934</v>
      </c>
      <c r="T37" s="5">
        <v>206677</v>
      </c>
      <c r="U37" s="5">
        <v>0</v>
      </c>
      <c r="V37" s="5">
        <v>0</v>
      </c>
      <c r="W37" s="5" t="s">
        <v>51</v>
      </c>
      <c r="X37" s="7">
        <v>214643</v>
      </c>
      <c r="Y37" s="4">
        <v>0.61699999999999999</v>
      </c>
      <c r="Z37" s="9">
        <v>0.624</v>
      </c>
      <c r="AA37" s="9">
        <v>0.62</v>
      </c>
      <c r="AB37" s="9">
        <v>264.32</v>
      </c>
      <c r="AC37" s="9">
        <v>323.33999999999997</v>
      </c>
      <c r="AD37" s="4">
        <v>44.27</v>
      </c>
      <c r="AE37" s="4">
        <v>52.51</v>
      </c>
      <c r="AF37" s="9">
        <v>1072</v>
      </c>
      <c r="AG37" s="9">
        <v>830</v>
      </c>
      <c r="AH37" s="4">
        <v>252143</v>
      </c>
      <c r="AI37" s="9">
        <v>0</v>
      </c>
      <c r="AJ37" s="9">
        <v>0</v>
      </c>
      <c r="AK37" s="4">
        <f t="shared" si="0"/>
        <v>252143</v>
      </c>
      <c r="AL37" s="5">
        <v>206677</v>
      </c>
      <c r="AM37" s="5">
        <v>-19</v>
      </c>
      <c r="AN37" s="5">
        <v>961</v>
      </c>
    </row>
    <row r="38" spans="2:40">
      <c r="B38" s="20">
        <v>46058</v>
      </c>
      <c r="C38" s="13">
        <v>46059</v>
      </c>
      <c r="D38" s="6">
        <v>267.52999877929688</v>
      </c>
      <c r="E38" s="6">
        <v>540.44000244140625</v>
      </c>
      <c r="F38" s="7">
        <v>421670</v>
      </c>
      <c r="G38" s="7">
        <v>189995</v>
      </c>
      <c r="H38" s="6">
        <v>45.75</v>
      </c>
      <c r="I38" s="6">
        <v>53.220001220703125</v>
      </c>
      <c r="J38" s="6">
        <v>74605</v>
      </c>
      <c r="K38" s="6">
        <v>175317</v>
      </c>
      <c r="L38" s="6">
        <v>1528.800048828125</v>
      </c>
      <c r="M38" s="6">
        <v>1389.8699951171875</v>
      </c>
      <c r="N38" s="8">
        <v>0.61761522762613918</v>
      </c>
      <c r="O38" s="8">
        <v>0.61760884551520856</v>
      </c>
      <c r="P38" s="8">
        <v>0.61761075065089277</v>
      </c>
      <c r="Q38" s="8">
        <v>282.55691842278344</v>
      </c>
      <c r="R38" s="8">
        <v>328.69244903559888</v>
      </c>
      <c r="S38" s="4">
        <v>313.41633924206553</v>
      </c>
      <c r="T38" s="5">
        <v>214459</v>
      </c>
      <c r="U38" s="5">
        <v>0</v>
      </c>
      <c r="V38" s="5">
        <v>0</v>
      </c>
      <c r="W38" s="5" t="s">
        <v>51</v>
      </c>
      <c r="X38" s="7">
        <v>249922</v>
      </c>
      <c r="Y38" s="4">
        <v>0.61699999999999999</v>
      </c>
      <c r="Z38" s="9">
        <v>0.624</v>
      </c>
      <c r="AA38" s="9">
        <v>0.62</v>
      </c>
      <c r="AB38" s="9">
        <v>264.32</v>
      </c>
      <c r="AC38" s="9">
        <v>323.33999999999997</v>
      </c>
      <c r="AD38" s="4">
        <v>44.27</v>
      </c>
      <c r="AE38" s="4">
        <v>52.51</v>
      </c>
      <c r="AF38" s="9">
        <v>1072</v>
      </c>
      <c r="AG38" s="9">
        <v>830</v>
      </c>
      <c r="AH38" s="4">
        <v>252143</v>
      </c>
      <c r="AI38" s="9">
        <v>0</v>
      </c>
      <c r="AJ38" s="9">
        <v>0</v>
      </c>
      <c r="AK38" s="4">
        <f t="shared" si="0"/>
        <v>252143</v>
      </c>
      <c r="AL38" s="5">
        <v>214459</v>
      </c>
      <c r="AM38" s="5">
        <v>274</v>
      </c>
      <c r="AN38" s="5">
        <v>-90</v>
      </c>
    </row>
    <row r="39" spans="2:40">
      <c r="B39" s="20">
        <v>46059</v>
      </c>
      <c r="C39" s="13">
        <v>46060</v>
      </c>
      <c r="D39" s="6">
        <v>202.67999267578125</v>
      </c>
      <c r="E39" s="6">
        <v>586.760009765625</v>
      </c>
      <c r="F39" s="7">
        <v>419141</v>
      </c>
      <c r="G39" s="7">
        <v>181582</v>
      </c>
      <c r="H39" s="6">
        <v>46.290000915527344</v>
      </c>
      <c r="I39" s="6">
        <v>53.180000305175781</v>
      </c>
      <c r="J39" s="6">
        <v>56412</v>
      </c>
      <c r="K39" s="6">
        <v>187621</v>
      </c>
      <c r="L39" s="6">
        <v>1571.800048828125</v>
      </c>
      <c r="M39" s="6">
        <v>1153.5400390625</v>
      </c>
      <c r="N39" s="8">
        <v>0.57431967992542365</v>
      </c>
      <c r="O39" s="8">
        <v>0.57431287232367023</v>
      </c>
      <c r="P39" s="8">
        <v>0.57431444600374548</v>
      </c>
      <c r="Q39" s="8">
        <v>265.85016231313955</v>
      </c>
      <c r="R39" s="8">
        <v>305.42042413746049</v>
      </c>
      <c r="S39" s="4">
        <v>295.26119689798776</v>
      </c>
      <c r="T39" s="5">
        <v>249405</v>
      </c>
      <c r="U39" s="5">
        <v>0</v>
      </c>
      <c r="V39" s="5">
        <v>0</v>
      </c>
      <c r="W39" s="5" t="s">
        <v>51</v>
      </c>
      <c r="X39" s="7">
        <v>244033</v>
      </c>
      <c r="Y39" s="4">
        <v>0.61699999999999999</v>
      </c>
      <c r="Z39" s="9">
        <v>0.624</v>
      </c>
      <c r="AA39" s="9">
        <v>0.62</v>
      </c>
      <c r="AB39" s="9">
        <v>264.32</v>
      </c>
      <c r="AC39" s="9">
        <v>323.33999999999997</v>
      </c>
      <c r="AD39" s="4">
        <v>44.27</v>
      </c>
      <c r="AE39" s="4">
        <v>52.51</v>
      </c>
      <c r="AF39" s="9">
        <v>1072</v>
      </c>
      <c r="AG39" s="9">
        <v>830</v>
      </c>
      <c r="AH39" s="4">
        <v>252143</v>
      </c>
      <c r="AI39" s="9">
        <v>0</v>
      </c>
      <c r="AJ39" s="9">
        <v>0</v>
      </c>
      <c r="AK39" s="4">
        <f t="shared" si="0"/>
        <v>252143</v>
      </c>
      <c r="AL39" s="5">
        <v>249405</v>
      </c>
      <c r="AM39" s="5">
        <v>530</v>
      </c>
      <c r="AN39" s="5">
        <v>-13</v>
      </c>
    </row>
    <row r="40" spans="2:40">
      <c r="B40" s="20">
        <v>46060</v>
      </c>
      <c r="C40" s="13">
        <v>46061</v>
      </c>
      <c r="D40" s="6">
        <v>511.80999755859375</v>
      </c>
      <c r="E40" s="6">
        <v>365.79998779296875</v>
      </c>
      <c r="F40" s="7">
        <v>422878</v>
      </c>
      <c r="G40" s="7">
        <v>184666</v>
      </c>
      <c r="H40" s="6">
        <v>45.580001831054688</v>
      </c>
      <c r="I40" s="6">
        <v>52.610000610351563</v>
      </c>
      <c r="J40" s="6">
        <v>136530</v>
      </c>
      <c r="K40" s="6">
        <v>112631</v>
      </c>
      <c r="L40" s="6">
        <v>1616.0999755859375</v>
      </c>
      <c r="M40" s="6">
        <v>1365.0899658203125</v>
      </c>
      <c r="N40" s="8">
        <v>0.60127397297184004</v>
      </c>
      <c r="O40" s="8">
        <v>0.60128125682479905</v>
      </c>
      <c r="P40" s="8">
        <v>0.60127726556839112</v>
      </c>
      <c r="Q40" s="8">
        <v>274.06218865578819</v>
      </c>
      <c r="R40" s="8">
        <v>316.33197308543578</v>
      </c>
      <c r="S40" s="4">
        <v>291.68081980910455</v>
      </c>
      <c r="T40" s="5">
        <v>243968</v>
      </c>
      <c r="U40" s="5">
        <v>0</v>
      </c>
      <c r="V40" s="5">
        <v>0</v>
      </c>
      <c r="W40" s="5" t="s">
        <v>51</v>
      </c>
      <c r="X40" s="7">
        <v>249161</v>
      </c>
      <c r="Y40" s="4">
        <v>0.61699999999999999</v>
      </c>
      <c r="Z40" s="9">
        <v>0.624</v>
      </c>
      <c r="AA40" s="9">
        <v>0.62</v>
      </c>
      <c r="AB40" s="9">
        <v>264.32</v>
      </c>
      <c r="AC40" s="9">
        <v>323.33999999999997</v>
      </c>
      <c r="AD40" s="4">
        <v>44.27</v>
      </c>
      <c r="AE40" s="4">
        <v>52.51</v>
      </c>
      <c r="AF40" s="9">
        <v>1072</v>
      </c>
      <c r="AG40" s="9">
        <v>830</v>
      </c>
      <c r="AH40" s="4">
        <v>252143</v>
      </c>
      <c r="AI40" s="9">
        <v>0</v>
      </c>
      <c r="AJ40" s="9">
        <v>0</v>
      </c>
      <c r="AK40" s="4">
        <f t="shared" si="0"/>
        <v>252143</v>
      </c>
      <c r="AL40" s="5">
        <v>243968</v>
      </c>
      <c r="AM40" s="5">
        <v>92</v>
      </c>
      <c r="AN40" s="5">
        <v>-27</v>
      </c>
    </row>
    <row r="41" spans="2:40">
      <c r="B41" s="20">
        <v>46061</v>
      </c>
      <c r="C41" s="13">
        <v>46062</v>
      </c>
      <c r="D41" s="6">
        <v>325.8699951171875</v>
      </c>
      <c r="E41" s="6">
        <v>532.15997314453125</v>
      </c>
      <c r="F41" s="7">
        <v>416906</v>
      </c>
      <c r="G41" s="7">
        <v>172831</v>
      </c>
      <c r="H41" s="6">
        <v>43.009998321533203</v>
      </c>
      <c r="I41" s="6">
        <v>52.189998626708984</v>
      </c>
      <c r="J41" s="6">
        <v>87671</v>
      </c>
      <c r="K41" s="6">
        <v>173729</v>
      </c>
      <c r="L41" s="6">
        <v>1141.699951171875</v>
      </c>
      <c r="M41" s="6">
        <v>1405.5400390625</v>
      </c>
      <c r="N41" s="8">
        <v>0.58291192636765532</v>
      </c>
      <c r="O41" s="8">
        <v>0.58290967337600053</v>
      </c>
      <c r="P41" s="8">
        <v>0.58291042900810974</v>
      </c>
      <c r="Q41" s="8">
        <v>250.70976573242999</v>
      </c>
      <c r="R41" s="8">
        <v>304.22094489427593</v>
      </c>
      <c r="S41" s="4">
        <v>283.89800940577237</v>
      </c>
      <c r="T41" s="5">
        <v>261643</v>
      </c>
      <c r="U41" s="5">
        <v>0</v>
      </c>
      <c r="V41" s="5">
        <v>0</v>
      </c>
      <c r="W41" s="5" t="s">
        <v>51</v>
      </c>
      <c r="X41" s="7">
        <v>261400</v>
      </c>
      <c r="Y41" s="4">
        <v>0.61699999999999999</v>
      </c>
      <c r="Z41" s="9">
        <v>0.624</v>
      </c>
      <c r="AA41" s="9">
        <v>0.62</v>
      </c>
      <c r="AB41" s="9">
        <v>264.32</v>
      </c>
      <c r="AC41" s="9">
        <v>323.33999999999997</v>
      </c>
      <c r="AD41" s="4">
        <v>44.27</v>
      </c>
      <c r="AE41" s="4">
        <v>52.51</v>
      </c>
      <c r="AF41" s="9">
        <v>1072</v>
      </c>
      <c r="AG41" s="9">
        <v>830</v>
      </c>
      <c r="AH41" s="4">
        <v>252143</v>
      </c>
      <c r="AI41" s="9">
        <v>0</v>
      </c>
      <c r="AJ41" s="9">
        <v>0</v>
      </c>
      <c r="AK41" s="4">
        <f t="shared" si="0"/>
        <v>252143</v>
      </c>
      <c r="AL41" s="5">
        <v>261643</v>
      </c>
      <c r="AM41" s="5">
        <v>-274</v>
      </c>
      <c r="AN41" s="5">
        <v>31</v>
      </c>
    </row>
    <row r="42" spans="2:40">
      <c r="B42" s="20">
        <v>46062</v>
      </c>
      <c r="C42" s="13">
        <v>46063</v>
      </c>
      <c r="D42" s="6">
        <v>212.72000122070313</v>
      </c>
      <c r="E42" s="6">
        <v>471.44000244140625</v>
      </c>
      <c r="F42" s="7">
        <v>408949</v>
      </c>
      <c r="G42" s="7">
        <v>152483</v>
      </c>
      <c r="H42" s="6">
        <v>45.610000610351563</v>
      </c>
      <c r="I42" s="6">
        <v>52.630001068115234</v>
      </c>
      <c r="J42" s="6">
        <v>68540</v>
      </c>
      <c r="K42" s="6">
        <v>175283</v>
      </c>
      <c r="L42" s="6">
        <v>1175.199951171875</v>
      </c>
      <c r="M42" s="6">
        <v>1585.25</v>
      </c>
      <c r="N42" s="8">
        <v>0.62442800198147663</v>
      </c>
      <c r="O42" s="8">
        <v>0.62443857980007578</v>
      </c>
      <c r="P42" s="8">
        <v>0.62443560629536476</v>
      </c>
      <c r="Q42" s="8">
        <v>284.80508384256837</v>
      </c>
      <c r="R42" s="8">
        <v>328.64046626294231</v>
      </c>
      <c r="S42" s="4">
        <v>315.01110682646583</v>
      </c>
      <c r="T42" s="5">
        <v>261643</v>
      </c>
      <c r="U42" s="5">
        <v>0</v>
      </c>
      <c r="V42" s="5">
        <v>0</v>
      </c>
      <c r="W42" s="5" t="s">
        <v>51</v>
      </c>
      <c r="X42" s="7">
        <v>243823</v>
      </c>
      <c r="Y42" s="4">
        <v>0.61699999999999999</v>
      </c>
      <c r="Z42" s="9">
        <v>0.624</v>
      </c>
      <c r="AA42" s="9">
        <v>0.62</v>
      </c>
      <c r="AB42" s="9">
        <v>264.32</v>
      </c>
      <c r="AC42" s="9">
        <v>323.33999999999997</v>
      </c>
      <c r="AD42" s="4">
        <v>44.27</v>
      </c>
      <c r="AE42" s="4">
        <v>52.51</v>
      </c>
      <c r="AF42" s="9">
        <v>1072</v>
      </c>
      <c r="AG42" s="9">
        <v>830</v>
      </c>
      <c r="AH42" s="4">
        <v>252143</v>
      </c>
      <c r="AI42" s="9">
        <v>0</v>
      </c>
      <c r="AJ42" s="9">
        <v>0</v>
      </c>
      <c r="AK42" s="4">
        <f t="shared" si="0"/>
        <v>252143</v>
      </c>
      <c r="AL42" s="5">
        <v>261643</v>
      </c>
      <c r="AM42" s="5">
        <v>-274</v>
      </c>
      <c r="AN42" s="5">
        <v>31</v>
      </c>
    </row>
    <row r="43" spans="2:40">
      <c r="B43" s="20">
        <v>46063</v>
      </c>
      <c r="C43" s="13">
        <v>46064</v>
      </c>
      <c r="D43" s="6">
        <v>212.78999328613281</v>
      </c>
      <c r="E43" s="6">
        <v>580.59002685546875</v>
      </c>
      <c r="F43" s="7">
        <v>413692</v>
      </c>
      <c r="G43" s="7">
        <v>167473</v>
      </c>
      <c r="H43" s="6">
        <v>45.580001831054688</v>
      </c>
      <c r="I43" s="6">
        <v>52.799999237060547</v>
      </c>
      <c r="J43" s="6">
        <v>59394</v>
      </c>
      <c r="K43" s="6">
        <v>187725</v>
      </c>
      <c r="L43" s="6">
        <v>1398.0999755859375</v>
      </c>
      <c r="M43" s="6">
        <v>1483.93994140625</v>
      </c>
      <c r="N43" s="8">
        <v>0.66127652060033726</v>
      </c>
      <c r="O43" s="8">
        <v>0.661275447443463</v>
      </c>
      <c r="P43" s="8">
        <v>0.66127570537286795</v>
      </c>
      <c r="Q43" s="8">
        <v>301.40947861727301</v>
      </c>
      <c r="R43" s="8">
        <v>349.15356739174103</v>
      </c>
      <c r="S43" s="4">
        <v>336.3482734949294</v>
      </c>
      <c r="T43" s="5">
        <v>246596</v>
      </c>
      <c r="U43" s="5">
        <v>0</v>
      </c>
      <c r="V43" s="5">
        <v>0</v>
      </c>
      <c r="W43" s="5" t="s">
        <v>51</v>
      </c>
      <c r="X43" s="7">
        <v>247119</v>
      </c>
      <c r="Y43" s="4">
        <v>0.61699999999999999</v>
      </c>
      <c r="Z43" s="9">
        <v>0.624</v>
      </c>
      <c r="AA43" s="9">
        <v>0.62</v>
      </c>
      <c r="AB43" s="9">
        <v>264.32</v>
      </c>
      <c r="AC43" s="9">
        <v>323.33999999999997</v>
      </c>
      <c r="AD43" s="4">
        <v>44.27</v>
      </c>
      <c r="AE43" s="4">
        <v>52.51</v>
      </c>
      <c r="AF43" s="9">
        <v>1072</v>
      </c>
      <c r="AG43" s="9">
        <v>830</v>
      </c>
      <c r="AH43" s="4">
        <v>252143</v>
      </c>
      <c r="AI43" s="9">
        <v>0</v>
      </c>
      <c r="AJ43" s="9">
        <v>0</v>
      </c>
      <c r="AK43" s="4">
        <f t="shared" si="0"/>
        <v>252143</v>
      </c>
      <c r="AL43" s="5">
        <v>246596</v>
      </c>
      <c r="AM43" s="5">
        <v>-2773</v>
      </c>
      <c r="AN43" s="5">
        <v>0</v>
      </c>
    </row>
    <row r="44" spans="2:40">
      <c r="B44" s="20">
        <v>46064</v>
      </c>
      <c r="C44" s="13">
        <v>46065</v>
      </c>
      <c r="D44" s="6">
        <v>202.47000122070313</v>
      </c>
      <c r="E44" s="6">
        <v>564.16998291015625</v>
      </c>
      <c r="F44" s="7">
        <v>409230</v>
      </c>
      <c r="G44" s="7">
        <v>153168</v>
      </c>
      <c r="H44" s="6">
        <v>45.889999389648438</v>
      </c>
      <c r="I44" s="6">
        <v>52.799999237060547</v>
      </c>
      <c r="J44" s="6">
        <v>60988</v>
      </c>
      <c r="K44" s="6">
        <v>195528</v>
      </c>
      <c r="L44" s="6">
        <v>1593.9000244140625</v>
      </c>
      <c r="M44" s="6">
        <v>984.69000244140625</v>
      </c>
      <c r="N44" s="8">
        <v>0.60837241900634886</v>
      </c>
      <c r="O44" s="8">
        <v>0.60837228875044636</v>
      </c>
      <c r="P44" s="8">
        <v>0.60837231971942607</v>
      </c>
      <c r="Q44" s="8">
        <v>279.18205380603467</v>
      </c>
      <c r="R44" s="8">
        <v>321.22058017034453</v>
      </c>
      <c r="S44" s="4">
        <v>310.11818444290549</v>
      </c>
      <c r="T44" s="5">
        <v>246056</v>
      </c>
      <c r="U44" s="5">
        <v>0</v>
      </c>
      <c r="V44" s="5">
        <v>0</v>
      </c>
      <c r="W44" s="5" t="s">
        <v>51</v>
      </c>
      <c r="X44" s="7">
        <v>256516</v>
      </c>
      <c r="Y44" s="4">
        <v>0.61699999999999999</v>
      </c>
      <c r="Z44" s="9">
        <v>0.624</v>
      </c>
      <c r="AA44" s="9">
        <v>0.62</v>
      </c>
      <c r="AB44" s="9">
        <v>264.32</v>
      </c>
      <c r="AC44" s="9">
        <v>323.33999999999997</v>
      </c>
      <c r="AD44" s="4">
        <v>44.27</v>
      </c>
      <c r="AE44" s="4">
        <v>52.51</v>
      </c>
      <c r="AF44" s="9">
        <v>1072</v>
      </c>
      <c r="AG44" s="9">
        <v>830</v>
      </c>
      <c r="AH44" s="4">
        <v>252143</v>
      </c>
      <c r="AI44" s="9">
        <v>0</v>
      </c>
      <c r="AJ44" s="9">
        <v>0</v>
      </c>
      <c r="AK44" s="4">
        <f t="shared" si="0"/>
        <v>252143</v>
      </c>
      <c r="AL44" s="5">
        <v>246056</v>
      </c>
      <c r="AM44" s="5">
        <v>1063</v>
      </c>
      <c r="AN44" s="5">
        <v>0</v>
      </c>
    </row>
    <row r="45" spans="2:40">
      <c r="B45" s="20">
        <v>46065</v>
      </c>
      <c r="C45" s="13">
        <v>46066</v>
      </c>
      <c r="D45" s="6">
        <v>212.62471008300781</v>
      </c>
      <c r="E45" s="6">
        <v>613.58050537109375</v>
      </c>
      <c r="F45" s="7">
        <v>410518.28125</v>
      </c>
      <c r="G45" s="7">
        <v>157520.953125</v>
      </c>
      <c r="H45" s="6">
        <v>44.859916687011719</v>
      </c>
      <c r="I45" s="6">
        <v>52.539974212646484</v>
      </c>
      <c r="J45" s="6">
        <v>58943.1640625</v>
      </c>
      <c r="K45" s="6">
        <v>199215.78125</v>
      </c>
      <c r="L45" s="6">
        <v>1093.8612060546875</v>
      </c>
      <c r="M45" s="6">
        <v>1078.426513671875</v>
      </c>
      <c r="N45" s="8">
        <v>0.63146762217535901</v>
      </c>
      <c r="O45" s="8">
        <v>0.63146555893309519</v>
      </c>
      <c r="P45" s="8">
        <v>0.63146603001598223</v>
      </c>
      <c r="Q45" s="8">
        <v>283.27513497195002</v>
      </c>
      <c r="R45" s="8">
        <v>331.77208933201962</v>
      </c>
      <c r="S45" s="4">
        <v>319.29135129280115</v>
      </c>
      <c r="T45" s="5">
        <v>258112.046875</v>
      </c>
      <c r="U45" s="5">
        <v>0</v>
      </c>
      <c r="V45" s="5">
        <v>0</v>
      </c>
      <c r="W45" s="5" t="s">
        <v>51</v>
      </c>
      <c r="X45" s="7">
        <v>258158.9453125</v>
      </c>
      <c r="Y45" s="4">
        <v>0.61699999999999999</v>
      </c>
      <c r="Z45" s="9">
        <v>0.624</v>
      </c>
      <c r="AA45" s="9">
        <v>0.62</v>
      </c>
      <c r="AB45" s="9">
        <v>264.32</v>
      </c>
      <c r="AC45" s="9">
        <v>323.33999999999997</v>
      </c>
      <c r="AD45" s="4">
        <v>44.27</v>
      </c>
      <c r="AE45" s="4">
        <v>52.51</v>
      </c>
      <c r="AF45" s="9">
        <v>1072</v>
      </c>
      <c r="AG45" s="9">
        <v>830</v>
      </c>
      <c r="AH45" s="4">
        <v>252143</v>
      </c>
      <c r="AI45" s="9">
        <v>0</v>
      </c>
      <c r="AJ45" s="9">
        <v>0</v>
      </c>
      <c r="AK45" s="4">
        <f t="shared" si="0"/>
        <v>252143</v>
      </c>
      <c r="AL45" s="5">
        <v>258112.046875</v>
      </c>
      <c r="AM45" s="5">
        <v>84.006019592285156</v>
      </c>
      <c r="AN45" s="5">
        <v>-39.998458862304688</v>
      </c>
    </row>
    <row r="46" spans="2:40">
      <c r="B46" s="20">
        <v>46066</v>
      </c>
      <c r="C46" s="13">
        <v>46067</v>
      </c>
      <c r="D46" s="6">
        <v>205.01460266113281</v>
      </c>
      <c r="E46" s="6">
        <v>599.85833740234375</v>
      </c>
      <c r="F46" s="7">
        <v>410911.1875</v>
      </c>
      <c r="G46" s="7">
        <v>158870.421875</v>
      </c>
      <c r="H46" s="6">
        <v>44.740272521972656</v>
      </c>
      <c r="I46" s="6">
        <v>52.499916076660156</v>
      </c>
      <c r="J46" s="6">
        <v>59182.0234375</v>
      </c>
      <c r="K46" s="6">
        <v>203194.90625</v>
      </c>
      <c r="L46" s="6">
        <v>1325.858642578125</v>
      </c>
      <c r="M46" s="6">
        <v>1332.3580322265625</v>
      </c>
      <c r="N46" s="8">
        <v>0.64950143879528022</v>
      </c>
      <c r="O46" s="8">
        <v>0.64950161037344356</v>
      </c>
      <c r="P46" s="8">
        <v>0.6495015716721485</v>
      </c>
      <c r="Q46" s="8">
        <v>290.58877320061481</v>
      </c>
      <c r="R46" s="8">
        <v>340.98778004446666</v>
      </c>
      <c r="S46" s="4">
        <v>328.15030986961762</v>
      </c>
      <c r="T46" s="5">
        <v>261691.796875</v>
      </c>
      <c r="U46" s="5">
        <v>0</v>
      </c>
      <c r="V46" s="5">
        <v>0</v>
      </c>
      <c r="W46" s="5" t="s">
        <v>51</v>
      </c>
      <c r="X46" s="7">
        <v>262376.9296875</v>
      </c>
      <c r="Y46" s="4">
        <v>0.61699999999999999</v>
      </c>
      <c r="Z46" s="9">
        <v>0.624</v>
      </c>
      <c r="AA46" s="9">
        <v>0.62</v>
      </c>
      <c r="AB46" s="9">
        <v>264.32</v>
      </c>
      <c r="AC46" s="9">
        <v>323.33999999999997</v>
      </c>
      <c r="AD46" s="4">
        <v>44.27</v>
      </c>
      <c r="AE46" s="4">
        <v>52.51</v>
      </c>
      <c r="AF46" s="9">
        <v>1072</v>
      </c>
      <c r="AG46" s="9">
        <v>830</v>
      </c>
      <c r="AH46" s="4">
        <v>252143</v>
      </c>
      <c r="AI46" s="9">
        <v>0</v>
      </c>
      <c r="AJ46" s="9">
        <v>0</v>
      </c>
      <c r="AK46" s="4">
        <f t="shared" si="0"/>
        <v>252143</v>
      </c>
      <c r="AL46" s="5">
        <v>261691.796875</v>
      </c>
      <c r="AM46" s="5">
        <v>603.99896240234375</v>
      </c>
      <c r="AN46" s="5">
        <v>92.998359680175781</v>
      </c>
    </row>
    <row r="47" spans="2:40">
      <c r="B47" s="20">
        <v>46067</v>
      </c>
      <c r="C47" s="13">
        <v>46068</v>
      </c>
      <c r="D47" s="6">
        <v>211.64106750488281</v>
      </c>
      <c r="E47" s="6">
        <v>554.2242431640625</v>
      </c>
      <c r="F47" s="7">
        <v>405426.375</v>
      </c>
      <c r="G47" s="7">
        <v>142202.21875</v>
      </c>
      <c r="H47" s="6">
        <v>45.129909515380859</v>
      </c>
      <c r="I47" s="6">
        <v>52.380168914794922</v>
      </c>
      <c r="J47" s="6">
        <v>60646.63671875</v>
      </c>
      <c r="K47" s="6">
        <v>184332.25</v>
      </c>
      <c r="L47" s="6">
        <v>1266.32861328125</v>
      </c>
      <c r="M47" s="6">
        <v>1257.6495361328125</v>
      </c>
      <c r="N47" s="8">
        <v>0.57752955461318356</v>
      </c>
      <c r="O47" s="8">
        <v>0.57754726402002177</v>
      </c>
      <c r="P47" s="8">
        <v>0.57754287985348995</v>
      </c>
      <c r="Q47" s="8">
        <v>260.64457909040482</v>
      </c>
      <c r="R47" s="8">
        <v>302.51793602262916</v>
      </c>
      <c r="S47" s="4">
        <v>290.94655155372249</v>
      </c>
      <c r="T47" s="5">
        <v>244544.515625</v>
      </c>
      <c r="U47" s="5">
        <v>0</v>
      </c>
      <c r="V47" s="5">
        <v>0</v>
      </c>
      <c r="W47" s="5" t="s">
        <v>51</v>
      </c>
      <c r="X47" s="7">
        <v>244978.88671875</v>
      </c>
      <c r="Y47" s="4">
        <v>0.61699999999999999</v>
      </c>
      <c r="Z47" s="9">
        <v>0.624</v>
      </c>
      <c r="AA47" s="9">
        <v>0.62</v>
      </c>
      <c r="AB47" s="9">
        <v>264.32</v>
      </c>
      <c r="AC47" s="9">
        <v>323.33999999999997</v>
      </c>
      <c r="AD47" s="4">
        <v>44.27</v>
      </c>
      <c r="AE47" s="4">
        <v>52.51</v>
      </c>
      <c r="AF47" s="9">
        <v>1072</v>
      </c>
      <c r="AG47" s="9">
        <v>830</v>
      </c>
      <c r="AH47" s="4">
        <v>252143</v>
      </c>
      <c r="AI47" s="9">
        <v>0</v>
      </c>
      <c r="AJ47" s="9">
        <v>0</v>
      </c>
      <c r="AK47" s="4">
        <f t="shared" si="0"/>
        <v>252143</v>
      </c>
      <c r="AL47" s="5">
        <v>244544.515625</v>
      </c>
      <c r="AM47" s="5">
        <v>511.9976806640625</v>
      </c>
      <c r="AN47" s="5">
        <v>-48.999271392822266</v>
      </c>
    </row>
    <row r="48" spans="2:40">
      <c r="B48" s="20">
        <v>46068</v>
      </c>
      <c r="C48" s="13">
        <v>46069</v>
      </c>
      <c r="D48" s="6">
        <v>213.16201782226563</v>
      </c>
      <c r="E48" s="6">
        <v>517.1982421875</v>
      </c>
      <c r="F48" s="7">
        <v>404525.6875</v>
      </c>
      <c r="G48" s="7">
        <v>139644.390625</v>
      </c>
      <c r="H48" s="6">
        <v>45.000213623046875</v>
      </c>
      <c r="I48" s="6">
        <v>52.619560241699219</v>
      </c>
      <c r="J48" s="6">
        <v>52933.4296875</v>
      </c>
      <c r="K48" s="6">
        <v>150182.71875</v>
      </c>
      <c r="L48" s="6">
        <v>1307.350341796875</v>
      </c>
      <c r="M48" s="6">
        <v>1385.947021484375</v>
      </c>
      <c r="N48" s="8">
        <v>0.54244076054368107</v>
      </c>
      <c r="O48" s="8">
        <v>0.54244453040009166</v>
      </c>
      <c r="P48" s="8">
        <v>0.54244354793339655</v>
      </c>
      <c r="Q48" s="8">
        <v>244.1007553544631</v>
      </c>
      <c r="R48" s="8">
        <v>285.43140948202415</v>
      </c>
      <c r="S48" s="4">
        <v>273.36869726432047</v>
      </c>
      <c r="T48" s="5">
        <v>202759.53125</v>
      </c>
      <c r="U48" s="5">
        <v>0</v>
      </c>
      <c r="V48" s="5">
        <v>0</v>
      </c>
      <c r="W48" s="5" t="s">
        <v>51</v>
      </c>
      <c r="X48" s="7">
        <v>203116.1484375</v>
      </c>
      <c r="Y48" s="4">
        <v>0.61699999999999999</v>
      </c>
      <c r="Z48" s="9">
        <v>0.624</v>
      </c>
      <c r="AA48" s="9">
        <v>0.62</v>
      </c>
      <c r="AB48" s="9">
        <v>264.32</v>
      </c>
      <c r="AC48" s="9">
        <v>323.33999999999997</v>
      </c>
      <c r="AD48" s="4">
        <v>44.27</v>
      </c>
      <c r="AE48" s="4">
        <v>52.51</v>
      </c>
      <c r="AF48" s="9">
        <v>1072</v>
      </c>
      <c r="AG48" s="9">
        <v>830</v>
      </c>
      <c r="AH48" s="4">
        <v>252143</v>
      </c>
      <c r="AI48" s="9">
        <v>0</v>
      </c>
      <c r="AJ48" s="9">
        <v>0</v>
      </c>
      <c r="AK48" s="4">
        <f t="shared" si="0"/>
        <v>252143</v>
      </c>
      <c r="AL48" s="5">
        <v>202759.53125</v>
      </c>
      <c r="AM48" s="5">
        <v>310.99990844726563</v>
      </c>
      <c r="AN48" s="5">
        <v>13.999166488647461</v>
      </c>
    </row>
    <row r="49" spans="2:40">
      <c r="B49" s="20">
        <v>46069</v>
      </c>
      <c r="C49" s="13">
        <v>46070</v>
      </c>
      <c r="D49" s="6">
        <v>201.68836975097656</v>
      </c>
      <c r="E49" s="6">
        <v>600.99737548828125</v>
      </c>
      <c r="F49" s="7">
        <v>405533.65625</v>
      </c>
      <c r="G49" s="7">
        <v>143093.4375</v>
      </c>
      <c r="H49" s="6">
        <v>45.309711456298828</v>
      </c>
      <c r="I49" s="6">
        <v>51.990287780761719</v>
      </c>
      <c r="J49" s="6">
        <v>56431.8359375</v>
      </c>
      <c r="K49" s="6">
        <v>192949.046875</v>
      </c>
      <c r="L49" s="6">
        <v>1235.9833984375</v>
      </c>
      <c r="M49" s="6">
        <v>763.08648681640625</v>
      </c>
      <c r="N49" s="8">
        <v>0.62855140634306583</v>
      </c>
      <c r="O49" s="8">
        <v>0.6285538217323664</v>
      </c>
      <c r="P49" s="8">
        <v>0.62855327516346149</v>
      </c>
      <c r="Q49" s="8">
        <v>284.79567532568041</v>
      </c>
      <c r="R49" s="8">
        <v>326.7866566128867</v>
      </c>
      <c r="S49" s="4">
        <v>316.23571234822185</v>
      </c>
      <c r="T49" s="5">
        <v>249131.09375</v>
      </c>
      <c r="U49" s="5">
        <v>0</v>
      </c>
      <c r="V49" s="5">
        <v>0</v>
      </c>
      <c r="W49" s="5" t="s">
        <v>51</v>
      </c>
      <c r="X49" s="7">
        <v>249380.8828125</v>
      </c>
      <c r="Y49" s="4">
        <v>0.61699999999999999</v>
      </c>
      <c r="Z49" s="9">
        <v>0.624</v>
      </c>
      <c r="AA49" s="9">
        <v>0.62</v>
      </c>
      <c r="AB49" s="9">
        <v>264.32</v>
      </c>
      <c r="AC49" s="9">
        <v>323.33999999999997</v>
      </c>
      <c r="AD49" s="4">
        <v>44.27</v>
      </c>
      <c r="AE49" s="4">
        <v>52.51</v>
      </c>
      <c r="AF49" s="9">
        <v>1072</v>
      </c>
      <c r="AG49" s="9">
        <v>830</v>
      </c>
      <c r="AH49" s="4">
        <v>252143</v>
      </c>
      <c r="AI49" s="9">
        <v>0</v>
      </c>
      <c r="AJ49" s="9">
        <v>0</v>
      </c>
      <c r="AK49" s="4">
        <f t="shared" si="0"/>
        <v>252143</v>
      </c>
      <c r="AL49" s="5">
        <v>249131.09375</v>
      </c>
      <c r="AM49" s="5">
        <v>301.99908447265625</v>
      </c>
      <c r="AN49" s="5">
        <v>-57.998043060302734</v>
      </c>
    </row>
    <row r="50" spans="2:40">
      <c r="B50" s="20">
        <v>46070</v>
      </c>
      <c r="C50" s="13">
        <v>46071</v>
      </c>
      <c r="D50" s="6">
        <v>213.75</v>
      </c>
      <c r="E50" s="6">
        <v>597.17999267578125</v>
      </c>
      <c r="F50" s="7">
        <v>407936</v>
      </c>
      <c r="G50" s="7">
        <v>150926</v>
      </c>
      <c r="H50" s="6">
        <v>44.889999389648438</v>
      </c>
      <c r="I50" s="6">
        <v>52.400001525878906</v>
      </c>
      <c r="J50" s="6">
        <v>60511</v>
      </c>
      <c r="K50" s="6">
        <v>197339</v>
      </c>
      <c r="L50" s="6">
        <v>1499.9000244140625</v>
      </c>
      <c r="M50" s="6">
        <v>1031.3699951171875</v>
      </c>
      <c r="N50" s="8">
        <v>0.65567261472587668</v>
      </c>
      <c r="O50" s="8">
        <v>0.65566291034082325</v>
      </c>
      <c r="P50" s="8">
        <v>0.65566518771035354</v>
      </c>
      <c r="Q50" s="8">
        <v>294.32809876131495</v>
      </c>
      <c r="R50" s="8">
        <v>343.56856836488203</v>
      </c>
      <c r="S50" s="4">
        <v>330.58945737771387</v>
      </c>
      <c r="T50" s="5">
        <v>257516</v>
      </c>
      <c r="U50" s="5">
        <v>0</v>
      </c>
      <c r="V50" s="5">
        <v>0</v>
      </c>
      <c r="W50" s="5" t="s">
        <v>51</v>
      </c>
      <c r="X50" s="7">
        <v>257850</v>
      </c>
      <c r="Y50" s="4">
        <v>0.61699999999999999</v>
      </c>
      <c r="Z50" s="9">
        <v>0.624</v>
      </c>
      <c r="AA50" s="9">
        <v>0.62</v>
      </c>
      <c r="AB50" s="9">
        <v>264.32</v>
      </c>
      <c r="AC50" s="9">
        <v>323.33999999999997</v>
      </c>
      <c r="AD50" s="4">
        <v>44.27</v>
      </c>
      <c r="AE50" s="4">
        <v>52.51</v>
      </c>
      <c r="AF50" s="9">
        <v>1072</v>
      </c>
      <c r="AG50" s="9">
        <v>830</v>
      </c>
      <c r="AH50" s="4">
        <v>252143</v>
      </c>
      <c r="AI50" s="9">
        <v>0</v>
      </c>
      <c r="AJ50" s="9">
        <v>0</v>
      </c>
      <c r="AK50" s="4">
        <f t="shared" si="0"/>
        <v>252143</v>
      </c>
      <c r="AL50" s="5">
        <v>257516</v>
      </c>
      <c r="AM50" s="5">
        <v>223</v>
      </c>
      <c r="AN50" s="5">
        <v>111</v>
      </c>
    </row>
    <row r="51" spans="2:40">
      <c r="B51" s="20">
        <v>46071</v>
      </c>
      <c r="C51" s="13">
        <v>46072</v>
      </c>
      <c r="D51" s="6">
        <v>203.75999450683594</v>
      </c>
      <c r="E51" s="6">
        <v>529.8800048828125</v>
      </c>
      <c r="F51" s="7">
        <v>403484</v>
      </c>
      <c r="G51" s="7">
        <v>137525</v>
      </c>
      <c r="H51" s="6">
        <v>45.319999694824219</v>
      </c>
      <c r="I51" s="6">
        <v>52.459999084472656</v>
      </c>
      <c r="J51" s="6">
        <v>63404</v>
      </c>
      <c r="K51" s="6">
        <v>190859</v>
      </c>
      <c r="L51" s="6">
        <v>1536.300048828125</v>
      </c>
      <c r="M51" s="6">
        <v>1607.1300048828125</v>
      </c>
      <c r="N51" s="8">
        <v>0.63839536469728164</v>
      </c>
      <c r="O51" s="8">
        <v>0.63839543418917488</v>
      </c>
      <c r="P51" s="8">
        <v>0.63839541686043899</v>
      </c>
      <c r="Q51" s="8">
        <v>289.32080097292277</v>
      </c>
      <c r="R51" s="8">
        <v>334.90222984030169</v>
      </c>
      <c r="S51" s="4">
        <v>322.24251703380571</v>
      </c>
      <c r="T51" s="5">
        <v>257516</v>
      </c>
      <c r="U51" s="5">
        <v>0</v>
      </c>
      <c r="V51" s="5">
        <v>0</v>
      </c>
      <c r="W51" s="5" t="s">
        <v>51</v>
      </c>
      <c r="X51" s="7">
        <v>254263</v>
      </c>
      <c r="Y51" s="4">
        <v>0.61699999999999999</v>
      </c>
      <c r="Z51" s="9">
        <v>0.624</v>
      </c>
      <c r="AA51" s="9">
        <v>0.62</v>
      </c>
      <c r="AB51" s="9">
        <v>264.32</v>
      </c>
      <c r="AC51" s="9">
        <v>323.33999999999997</v>
      </c>
      <c r="AD51" s="4">
        <v>44.27</v>
      </c>
      <c r="AE51" s="4">
        <v>52.51</v>
      </c>
      <c r="AF51" s="9">
        <v>1072</v>
      </c>
      <c r="AG51" s="9">
        <v>830</v>
      </c>
      <c r="AH51" s="4">
        <v>252143</v>
      </c>
      <c r="AI51" s="9">
        <v>0</v>
      </c>
      <c r="AJ51" s="9">
        <v>0</v>
      </c>
      <c r="AK51" s="4">
        <f t="shared" si="0"/>
        <v>252143</v>
      </c>
      <c r="AL51" s="5">
        <v>257516</v>
      </c>
      <c r="AM51" s="5">
        <v>223</v>
      </c>
      <c r="AN51" s="5">
        <v>111</v>
      </c>
    </row>
    <row r="52" spans="2:40">
      <c r="B52" s="20">
        <v>46072</v>
      </c>
      <c r="C52" s="13">
        <v>46073</v>
      </c>
      <c r="D52" s="6">
        <v>212.86000061035156</v>
      </c>
      <c r="E52" s="6">
        <v>549.45001220703125</v>
      </c>
      <c r="F52" s="7">
        <v>400394</v>
      </c>
      <c r="G52" s="7">
        <v>128267</v>
      </c>
      <c r="H52" s="6">
        <v>45.159999847412109</v>
      </c>
      <c r="I52" s="6">
        <v>52.419998168945313</v>
      </c>
      <c r="J52" s="6">
        <v>63311</v>
      </c>
      <c r="K52" s="6">
        <v>189697</v>
      </c>
      <c r="L52" s="6">
        <v>974.4000244140625</v>
      </c>
      <c r="M52" s="6">
        <v>1795.780029296875</v>
      </c>
      <c r="N52" s="8">
        <v>0.62646955781761982</v>
      </c>
      <c r="O52" s="8">
        <v>0.62647713196195987</v>
      </c>
      <c r="P52" s="8">
        <v>0.62647523664624072</v>
      </c>
      <c r="Q52" s="8">
        <v>282.91621591351696</v>
      </c>
      <c r="R52" s="8">
        <v>328.39830757885522</v>
      </c>
      <c r="S52" s="4">
        <v>315.69833263839331</v>
      </c>
      <c r="T52" s="5">
        <v>253380</v>
      </c>
      <c r="U52" s="5">
        <v>0</v>
      </c>
      <c r="V52" s="5">
        <v>0</v>
      </c>
      <c r="W52" s="5" t="s">
        <v>51</v>
      </c>
      <c r="X52" s="7">
        <v>253008</v>
      </c>
      <c r="Y52" s="4">
        <v>0.61699999999999999</v>
      </c>
      <c r="Z52" s="9">
        <v>0.624</v>
      </c>
      <c r="AA52" s="9">
        <v>0.62</v>
      </c>
      <c r="AB52" s="9">
        <v>264.32</v>
      </c>
      <c r="AC52" s="9">
        <v>323.33999999999997</v>
      </c>
      <c r="AD52" s="4">
        <v>44.27</v>
      </c>
      <c r="AE52" s="4">
        <v>52.51</v>
      </c>
      <c r="AF52" s="9">
        <v>1072</v>
      </c>
      <c r="AG52" s="9">
        <v>830</v>
      </c>
      <c r="AH52" s="4">
        <v>252143</v>
      </c>
      <c r="AI52" s="9">
        <v>0</v>
      </c>
      <c r="AJ52" s="9">
        <v>0</v>
      </c>
      <c r="AK52" s="4">
        <f t="shared" si="0"/>
        <v>252143</v>
      </c>
      <c r="AL52" s="5">
        <v>253380</v>
      </c>
      <c r="AM52" s="5">
        <v>-228</v>
      </c>
      <c r="AN52" s="5">
        <v>-144</v>
      </c>
    </row>
    <row r="53" spans="2:40">
      <c r="B53" s="20">
        <v>46073</v>
      </c>
      <c r="C53" s="13">
        <v>46074</v>
      </c>
      <c r="D53" s="6">
        <v>213.03999328613281</v>
      </c>
      <c r="E53" s="6">
        <v>606.719970703125</v>
      </c>
      <c r="F53" s="7">
        <v>401570</v>
      </c>
      <c r="G53" s="7">
        <v>132173</v>
      </c>
      <c r="H53" s="6">
        <v>45.659999847412109</v>
      </c>
      <c r="I53" s="6">
        <v>53.229999542236328</v>
      </c>
      <c r="J53" s="6">
        <v>59001</v>
      </c>
      <c r="K53" s="6">
        <v>195887</v>
      </c>
      <c r="L53" s="6">
        <v>1341.300048828125</v>
      </c>
      <c r="M53" s="6">
        <v>1361.9300537109375</v>
      </c>
      <c r="N53" s="8">
        <v>0.6186335763411146</v>
      </c>
      <c r="O53" s="8">
        <v>0.61863646467483457</v>
      </c>
      <c r="P53" s="8">
        <v>0.61863579609045205</v>
      </c>
      <c r="Q53" s="8">
        <v>282.46910355093712</v>
      </c>
      <c r="R53" s="8">
        <v>329.29983142705771</v>
      </c>
      <c r="S53" s="4">
        <v>317.12941765890713</v>
      </c>
      <c r="T53" s="5">
        <v>253380</v>
      </c>
      <c r="U53" s="5">
        <v>0</v>
      </c>
      <c r="V53" s="5">
        <v>0</v>
      </c>
      <c r="W53" s="5" t="s">
        <v>51</v>
      </c>
      <c r="X53" s="7">
        <v>254888</v>
      </c>
      <c r="Y53" s="4">
        <v>0.61699999999999999</v>
      </c>
      <c r="Z53" s="9">
        <v>0.624</v>
      </c>
      <c r="AA53" s="9">
        <v>0.62</v>
      </c>
      <c r="AB53" s="9">
        <v>264.32</v>
      </c>
      <c r="AC53" s="9">
        <v>323.33999999999997</v>
      </c>
      <c r="AD53" s="4">
        <v>44.27</v>
      </c>
      <c r="AE53" s="4">
        <v>52.51</v>
      </c>
      <c r="AF53" s="9">
        <v>1072</v>
      </c>
      <c r="AG53" s="9">
        <v>830</v>
      </c>
      <c r="AH53" s="4">
        <v>252143</v>
      </c>
      <c r="AI53" s="9">
        <v>0</v>
      </c>
      <c r="AJ53" s="9">
        <v>0</v>
      </c>
      <c r="AK53" s="4">
        <f t="shared" si="0"/>
        <v>252143</v>
      </c>
      <c r="AL53" s="5">
        <v>253380</v>
      </c>
      <c r="AM53" s="5">
        <v>-228</v>
      </c>
      <c r="AN53" s="5">
        <v>-144</v>
      </c>
    </row>
    <row r="54" spans="2:40">
      <c r="B54" s="20">
        <v>46074</v>
      </c>
      <c r="C54" s="13">
        <v>46075</v>
      </c>
      <c r="D54" s="6">
        <v>202.46723937988281</v>
      </c>
      <c r="E54" s="6">
        <v>612.60107421875</v>
      </c>
      <c r="F54" s="7">
        <v>402418.75</v>
      </c>
      <c r="G54" s="7">
        <v>135138.421875</v>
      </c>
      <c r="H54" s="6">
        <v>45.630058288574219</v>
      </c>
      <c r="I54" s="6">
        <v>52.749553680419922</v>
      </c>
      <c r="J54" s="6">
        <v>57297.37890625</v>
      </c>
      <c r="K54" s="6">
        <v>200411.234375</v>
      </c>
      <c r="L54" s="6">
        <v>1504.0687255859375</v>
      </c>
      <c r="M54" s="6">
        <v>1568.1141357421875</v>
      </c>
      <c r="N54" s="8">
        <v>0.62938301982522504</v>
      </c>
      <c r="O54" s="8">
        <v>0.62936785764339598</v>
      </c>
      <c r="P54" s="8">
        <v>0.62937122869063344</v>
      </c>
      <c r="Q54" s="8">
        <v>287.18245850305181</v>
      </c>
      <c r="R54" s="8">
        <v>331.99051412728409</v>
      </c>
      <c r="S54" s="4">
        <v>320.8599583531751</v>
      </c>
      <c r="T54" s="5">
        <v>254907</v>
      </c>
      <c r="U54" s="5">
        <v>0</v>
      </c>
      <c r="V54" s="5">
        <v>0</v>
      </c>
      <c r="W54" s="5" t="s">
        <v>51</v>
      </c>
      <c r="X54" s="7">
        <v>257708.61328125</v>
      </c>
      <c r="Y54" s="4">
        <v>0.61699999999999999</v>
      </c>
      <c r="Z54" s="9">
        <v>0.624</v>
      </c>
      <c r="AA54" s="9">
        <v>0.62</v>
      </c>
      <c r="AB54" s="9">
        <v>264.32</v>
      </c>
      <c r="AC54" s="9">
        <v>323.33999999999997</v>
      </c>
      <c r="AD54" s="4">
        <v>44.27</v>
      </c>
      <c r="AE54" s="4">
        <v>52.51</v>
      </c>
      <c r="AF54" s="9">
        <v>1072</v>
      </c>
      <c r="AG54" s="9">
        <v>830</v>
      </c>
      <c r="AH54" s="4">
        <v>252143</v>
      </c>
      <c r="AI54" s="9">
        <v>0</v>
      </c>
      <c r="AJ54" s="9">
        <v>0</v>
      </c>
      <c r="AK54" s="4">
        <f t="shared" si="0"/>
        <v>252143</v>
      </c>
      <c r="AL54" s="5">
        <v>254907</v>
      </c>
      <c r="AM54" s="5">
        <v>74</v>
      </c>
      <c r="AN54" s="5">
        <v>-93</v>
      </c>
    </row>
    <row r="55" spans="2:40">
      <c r="B55" s="20">
        <v>46075</v>
      </c>
      <c r="C55" s="13">
        <v>46076</v>
      </c>
      <c r="D55" s="6">
        <v>212.8800048828125</v>
      </c>
      <c r="E55" s="6">
        <v>614.21002197265625</v>
      </c>
      <c r="F55" s="7">
        <v>403477</v>
      </c>
      <c r="G55" s="7">
        <v>138621</v>
      </c>
      <c r="H55" s="6">
        <v>45.709999084472656</v>
      </c>
      <c r="I55" s="6">
        <v>52.110000610351563</v>
      </c>
      <c r="J55" s="6">
        <v>59284</v>
      </c>
      <c r="K55" s="6">
        <v>194998</v>
      </c>
      <c r="L55" s="6">
        <v>1603</v>
      </c>
      <c r="M55" s="6">
        <v>1991.47998046875</v>
      </c>
      <c r="N55" s="8">
        <v>0.62011953930321584</v>
      </c>
      <c r="O55" s="8">
        <v>0.62012614156858725</v>
      </c>
      <c r="P55" s="8">
        <v>0.62012460229632449</v>
      </c>
      <c r="Q55" s="8">
        <v>283.45895003223961</v>
      </c>
      <c r="R55" s="8">
        <v>323.14693404155491</v>
      </c>
      <c r="S55" s="4">
        <v>312.93186922954936</v>
      </c>
      <c r="T55" s="5">
        <v>257823</v>
      </c>
      <c r="U55" s="5">
        <v>0</v>
      </c>
      <c r="V55" s="5">
        <v>0</v>
      </c>
      <c r="W55" s="5" t="s">
        <v>51</v>
      </c>
      <c r="X55" s="7">
        <v>254282</v>
      </c>
      <c r="Y55" s="4">
        <v>0.61699999999999999</v>
      </c>
      <c r="Z55" s="9">
        <v>0.624</v>
      </c>
      <c r="AA55" s="9">
        <v>0.62</v>
      </c>
      <c r="AB55" s="9">
        <v>264.32</v>
      </c>
      <c r="AC55" s="9">
        <v>323.33999999999997</v>
      </c>
      <c r="AD55" s="4">
        <v>44.27</v>
      </c>
      <c r="AE55" s="4">
        <v>52.51</v>
      </c>
      <c r="AF55" s="9">
        <v>1072</v>
      </c>
      <c r="AG55" s="9">
        <v>830</v>
      </c>
      <c r="AH55" s="4">
        <v>252143</v>
      </c>
      <c r="AI55" s="9">
        <v>0</v>
      </c>
      <c r="AJ55" s="9">
        <v>0</v>
      </c>
      <c r="AK55" s="4">
        <f t="shared" si="0"/>
        <v>252143</v>
      </c>
      <c r="AL55" s="5">
        <v>257823</v>
      </c>
      <c r="AM55" s="5">
        <v>-237</v>
      </c>
      <c r="AN55" s="5">
        <v>125</v>
      </c>
    </row>
    <row r="56" spans="2:40">
      <c r="B56" s="20">
        <v>46076</v>
      </c>
      <c r="C56" s="13">
        <v>46077</v>
      </c>
      <c r="D56" s="6">
        <f>_xll.PIArcVal(Sheet1!$A$1,Sheet1!C56,0,"","auto")</f>
        <v>203.47999572753906</v>
      </c>
      <c r="E56" s="6">
        <f>_xll.PIArcVal(Sheet1!$A$2,Sheet1!C56,0,"","auto")</f>
        <v>621.25</v>
      </c>
      <c r="F56" s="7">
        <f>_xll.PIArcVal(Sheet1!$A$3,Sheet1!C56,0,"","auto")</f>
        <v>403956</v>
      </c>
      <c r="G56" s="7">
        <f>_xll.PIArcVal(Sheet1!$A$4,Sheet1!C56,0,"","auto")</f>
        <v>140305</v>
      </c>
      <c r="H56" s="6">
        <f>_xll.PIArcVal(Sheet1!$A$5,Sheet1!C56,0,"","auto")</f>
        <v>45.229999542236328</v>
      </c>
      <c r="I56" s="6">
        <f>_xll.PIArcVal(Sheet1!$A$6,Sheet1!C56,0,"","auto")</f>
        <v>52.130001068115234</v>
      </c>
      <c r="J56" s="6">
        <f>_xll.PIArcVal(Sheet1!$A$7,Sheet1!C56,0,"","auto")</f>
        <v>57052</v>
      </c>
      <c r="K56" s="6">
        <f>_xll.PIArcVal(Sheet1!$A$8,Sheet1!C56,0,"","auto")</f>
        <v>200759</v>
      </c>
      <c r="L56" s="6">
        <f>_xll.PIArcVal(Sheet1!$A$9,Sheet1!C56,0,"","auto")</f>
        <v>1432.4000244140625</v>
      </c>
      <c r="M56" s="6">
        <f>_xll.PIArcVal(Sheet1!$A$10,Sheet1!C56,0,"","auto")</f>
        <v>1232.3199462890625</v>
      </c>
      <c r="N56" s="8">
        <f t="shared" ref="N56" si="1">(J56+F56-F55)/(D56*H56/100)/1000</f>
        <v>0.6251059313928754</v>
      </c>
      <c r="O56" s="8">
        <f t="shared" ref="O56" si="2">(K56+G56-G55)/(E56*I56/100)/1000</f>
        <v>0.62509874779713326</v>
      </c>
      <c r="P56" s="8">
        <f t="shared" ref="P56" si="3">((J56+K56)+F56+G56-F55-G55)/(D56*H56/100+E56*I56/100)/1000</f>
        <v>0.62510033747821026</v>
      </c>
      <c r="Q56" s="8">
        <f t="shared" ref="Q56" si="4">P56*H56*10</f>
        <v>282.73287977991225</v>
      </c>
      <c r="R56" s="8">
        <f t="shared" ref="R56" si="5">P56*I56*10</f>
        <v>325.86481260418293</v>
      </c>
      <c r="S56" s="4">
        <f t="shared" ref="S56" si="6">((J56+K56)+F56+G56-F55-G55)/(D56+E56)</f>
        <v>315.2231655775571</v>
      </c>
      <c r="T56" s="5">
        <f t="shared" ref="T56" si="7">IF(AL56&lt;3000,0,AL56)</f>
        <v>257769</v>
      </c>
      <c r="U56" s="5">
        <f t="shared" ref="U56" si="8">IF(AM56&lt;3000,0,AM56)</f>
        <v>0</v>
      </c>
      <c r="V56" s="5">
        <f t="shared" ref="V56" si="9">IF(AN56&lt;3000,0,AN56)</f>
        <v>0</v>
      </c>
      <c r="W56" s="5" t="s">
        <v>51</v>
      </c>
      <c r="X56" s="7">
        <f t="shared" ref="X56" si="10">J56+K56</f>
        <v>257811</v>
      </c>
      <c r="Y56" s="4">
        <v>0.61699999999999999</v>
      </c>
      <c r="Z56" s="9">
        <v>0.624</v>
      </c>
      <c r="AA56" s="9">
        <v>0.62</v>
      </c>
      <c r="AB56" s="9">
        <v>264.32</v>
      </c>
      <c r="AC56" s="9">
        <v>323.33999999999997</v>
      </c>
      <c r="AD56" s="4">
        <v>44.27</v>
      </c>
      <c r="AE56" s="4">
        <v>52.51</v>
      </c>
      <c r="AF56" s="9">
        <v>1072</v>
      </c>
      <c r="AG56" s="9">
        <v>830</v>
      </c>
      <c r="AH56" s="4">
        <v>252143</v>
      </c>
      <c r="AI56" s="9">
        <v>0</v>
      </c>
      <c r="AJ56" s="9">
        <v>0</v>
      </c>
      <c r="AK56" s="4">
        <f t="shared" si="0"/>
        <v>252143</v>
      </c>
      <c r="AL56" s="5">
        <f>_xll.PIArcVal(Sheet1!$A$11,Sheet1!C56,0,"","auto")</f>
        <v>257769</v>
      </c>
      <c r="AM56" s="5">
        <f>_xll.PIArcVal(Sheet1!$A$12,Sheet1!C56,0,"","auto")</f>
        <v>65</v>
      </c>
      <c r="AN56" s="5">
        <f>_xll.PIArcVal(Sheet1!$A$13,Sheet1!C56,0,"","auto")</f>
        <v>-23</v>
      </c>
    </row>
    <row r="57" spans="2:40">
      <c r="B57" s="20">
        <v>46077</v>
      </c>
      <c r="C57" s="13">
        <v>46078</v>
      </c>
      <c r="D57" s="6">
        <f>_xll.PIArcVal(Sheet1!$A$1,Sheet1!C57,0,"","auto")</f>
        <v>212.36000061035156</v>
      </c>
      <c r="E57" s="6">
        <f>_xll.PIArcVal(Sheet1!$A$2,Sheet1!C57,0,"","auto")</f>
        <v>622.54998779296875</v>
      </c>
      <c r="F57" s="7">
        <f>_xll.PIArcVal(Sheet1!$A$3,Sheet1!C57,0,"","auto")</f>
        <v>406996</v>
      </c>
      <c r="G57" s="7">
        <f>_xll.PIArcVal(Sheet1!$A$4,Sheet1!C57,0,"","auto")</f>
        <v>150504</v>
      </c>
      <c r="H57" s="6">
        <f>_xll.PIArcVal(Sheet1!$A$5,Sheet1!C57,0,"","auto")</f>
        <v>45.259998321533203</v>
      </c>
      <c r="I57" s="6">
        <f>_xll.PIArcVal(Sheet1!$A$6,Sheet1!C57,0,"","auto")</f>
        <v>51.790000915527344</v>
      </c>
      <c r="J57" s="6">
        <f>_xll.PIArcVal(Sheet1!$A$7,Sheet1!C57,0,"","auto")</f>
        <v>59800</v>
      </c>
      <c r="K57" s="6">
        <f>_xll.PIArcVal(Sheet1!$A$8,Sheet1!C57,0,"","auto")</f>
        <v>200600</v>
      </c>
      <c r="L57" s="6">
        <f>_xll.PIArcVal(Sheet1!$A$9,Sheet1!C57,0,"","auto")</f>
        <v>1475.5</v>
      </c>
      <c r="M57" s="6">
        <f>_xll.PIArcVal(Sheet1!$A$10,Sheet1!C57,0,"","auto")</f>
        <v>2343.780029296875</v>
      </c>
      <c r="N57" s="8">
        <f t="shared" ref="N57" si="11">(J57+F57-F56)/(D57*H57/100)/1000</f>
        <v>0.65380603483560773</v>
      </c>
      <c r="O57" s="8">
        <f t="shared" ref="O57" si="12">(K57+G57-G56)/(E57*I57/100)/1000</f>
        <v>0.65380524258121742</v>
      </c>
      <c r="P57" s="8">
        <f t="shared" ref="P57" si="13">((J57+K57)+F57+G57-F56-G56)/(D57*H57/100+E57*I57/100)/1000</f>
        <v>0.65380542451880452</v>
      </c>
      <c r="Q57" s="8">
        <f t="shared" ref="Q57" si="14">P57*H57*10</f>
        <v>295.91232416330394</v>
      </c>
      <c r="R57" s="8">
        <f t="shared" ref="R57" si="15">P57*I57*10</f>
        <v>338.60583534405629</v>
      </c>
      <c r="S57" s="4">
        <f t="shared" ref="S57" si="16">((J57+K57)+F57+G57-F56-G56)/(D57+E57)</f>
        <v>327.74670778979004</v>
      </c>
      <c r="T57" s="5">
        <f t="shared" ref="T57" si="17">IF(AL57&lt;3000,0,AL57)</f>
        <v>257769</v>
      </c>
      <c r="U57" s="5">
        <f t="shared" ref="U57" si="18">IF(AM57&lt;3000,0,AM57)</f>
        <v>0</v>
      </c>
      <c r="V57" s="5">
        <f t="shared" ref="V57" si="19">IF(AN57&lt;3000,0,AN57)</f>
        <v>0</v>
      </c>
      <c r="W57" s="5" t="s">
        <v>51</v>
      </c>
      <c r="X57" s="7">
        <f t="shared" ref="X57" si="20">J57+K57</f>
        <v>260400</v>
      </c>
      <c r="Y57" s="4">
        <v>0.61699999999999999</v>
      </c>
      <c r="Z57" s="9">
        <v>0.624</v>
      </c>
      <c r="AA57" s="9">
        <v>0.62</v>
      </c>
      <c r="AB57" s="9">
        <v>264.32</v>
      </c>
      <c r="AC57" s="9">
        <v>323.33999999999997</v>
      </c>
      <c r="AD57" s="4">
        <v>44.27</v>
      </c>
      <c r="AE57" s="4">
        <v>52.51</v>
      </c>
      <c r="AF57" s="9">
        <v>1072</v>
      </c>
      <c r="AG57" s="9">
        <v>830</v>
      </c>
      <c r="AH57" s="4">
        <v>252143</v>
      </c>
      <c r="AI57" s="9">
        <v>0</v>
      </c>
      <c r="AJ57" s="9">
        <v>0</v>
      </c>
      <c r="AK57" s="4">
        <f t="shared" si="0"/>
        <v>252143</v>
      </c>
      <c r="AL57" s="5">
        <f>_xll.PIArcVal(Sheet1!$A$11,Sheet1!C57,0,"","auto")</f>
        <v>257769</v>
      </c>
      <c r="AM57" s="5">
        <f>_xll.PIArcVal(Sheet1!$A$12,Sheet1!C57,0,"","auto")</f>
        <v>65</v>
      </c>
      <c r="AN57" s="5">
        <f>_xll.PIArcVal(Sheet1!$A$13,Sheet1!C57,0,"","auto")</f>
        <v>-23</v>
      </c>
    </row>
    <row r="58" spans="2:40">
      <c r="B58" s="20">
        <v>46078</v>
      </c>
      <c r="C58" s="13">
        <v>46079</v>
      </c>
      <c r="D58" s="6">
        <f>_xll.PIArcVal(Sheet1!$A$1,Sheet1!C58,0,"","auto")</f>
        <v>212.77999877929688</v>
      </c>
      <c r="E58" s="6">
        <f>_xll.PIArcVal(Sheet1!$A$2,Sheet1!C58,0,"","auto")</f>
        <v>584.28997802734375</v>
      </c>
      <c r="F58" s="7">
        <f>_xll.PIArcVal(Sheet1!$A$3,Sheet1!C58,0,"","auto")</f>
        <v>404172</v>
      </c>
      <c r="G58" s="7">
        <f>_xll.PIArcVal(Sheet1!$A$4,Sheet1!C58,0,"","auto")</f>
        <v>141657</v>
      </c>
      <c r="H58" s="6">
        <f>_xll.PIArcVal(Sheet1!$A$5,Sheet1!C58,0,"","auto")</f>
        <v>45.080001831054688</v>
      </c>
      <c r="I58" s="6">
        <f>_xll.PIArcVal(Sheet1!$A$6,Sheet1!C58,0,"","auto")</f>
        <v>51.419998168945313</v>
      </c>
      <c r="J58" s="6">
        <f>_xll.PIArcVal(Sheet1!$A$7,Sheet1!C58,0,"","auto")</f>
        <v>64037</v>
      </c>
      <c r="K58" s="6">
        <f>_xll.PIArcVal(Sheet1!$A$8,Sheet1!C58,0,"","auto")</f>
        <v>200575</v>
      </c>
      <c r="L58" s="6">
        <f>_xll.PIArcVal(Sheet1!$A$9,Sheet1!C58,0,"","auto")</f>
        <v>1418.300048828125</v>
      </c>
      <c r="M58" s="6">
        <f>_xll.PIArcVal(Sheet1!$A$10,Sheet1!C58,0,"","auto")</f>
        <v>2072.97998046875</v>
      </c>
      <c r="N58" s="8">
        <f t="shared" ref="N58" si="21">(J58+F58-F57)/(D58*H58/100)/1000</f>
        <v>0.63815905711160814</v>
      </c>
      <c r="O58" s="8">
        <f t="shared" ref="O58" si="22">(K58+G58-G57)/(E58*I58/100)/1000</f>
        <v>0.63815334196297047</v>
      </c>
      <c r="P58" s="8">
        <f t="shared" ref="P58" si="23">((J58+K58)+F58+G58-F57-G57)/(D58*H58/100+E58*I58/100)/1000</f>
        <v>0.63815472504842796</v>
      </c>
      <c r="Q58" s="8">
        <f t="shared" ref="Q58" si="24">P58*H58*10</f>
        <v>287.68016173679331</v>
      </c>
      <c r="R58" s="8">
        <f t="shared" ref="R58" si="25">P58*I58*10</f>
        <v>328.13914793493961</v>
      </c>
      <c r="S58" s="4">
        <f t="shared" ref="S58" si="26">((J58+K58)+F58+G58-F57-G57)/(D58+E58)</f>
        <v>317.3385114985461</v>
      </c>
      <c r="T58" s="5">
        <f t="shared" ref="T58" si="27">IF(AL58&lt;3000,0,AL58)</f>
        <v>260673</v>
      </c>
      <c r="U58" s="5">
        <f t="shared" ref="U58" si="28">IF(AM58&lt;3000,0,AM58)</f>
        <v>0</v>
      </c>
      <c r="V58" s="5">
        <f t="shared" ref="V58" si="29">IF(AN58&lt;3000,0,AN58)</f>
        <v>0</v>
      </c>
      <c r="W58" s="5" t="s">
        <v>51</v>
      </c>
      <c r="X58" s="7">
        <f t="shared" ref="X58" si="30">J58+K58</f>
        <v>264612</v>
      </c>
      <c r="Y58" s="4">
        <v>0.61699999999999999</v>
      </c>
      <c r="Z58" s="9">
        <v>0.624</v>
      </c>
      <c r="AA58" s="9">
        <v>0.62</v>
      </c>
      <c r="AB58" s="9">
        <v>264.32</v>
      </c>
      <c r="AC58" s="9">
        <v>323.33999999999997</v>
      </c>
      <c r="AD58" s="4">
        <v>44.27</v>
      </c>
      <c r="AE58" s="4">
        <v>52.51</v>
      </c>
      <c r="AF58" s="9">
        <v>1072</v>
      </c>
      <c r="AG58" s="9">
        <v>830</v>
      </c>
      <c r="AH58" s="4">
        <v>252143</v>
      </c>
      <c r="AI58" s="9">
        <v>0</v>
      </c>
      <c r="AJ58" s="9">
        <v>0</v>
      </c>
      <c r="AK58" s="4">
        <f t="shared" si="0"/>
        <v>252143</v>
      </c>
      <c r="AL58" s="5">
        <f>_xll.PIArcVal(Sheet1!$A$11,Sheet1!C58,0,"","auto")</f>
        <v>260673</v>
      </c>
      <c r="AM58" s="5">
        <f>_xll.PIArcVal(Sheet1!$A$12,Sheet1!C58,0,"","auto")</f>
        <v>-219</v>
      </c>
      <c r="AN58" s="5">
        <f>_xll.PIArcVal(Sheet1!$A$13,Sheet1!C58,0,"","auto")</f>
        <v>-54</v>
      </c>
    </row>
    <row r="59" spans="2:40">
      <c r="B59" s="20">
        <v>46079</v>
      </c>
      <c r="C59" s="13">
        <v>46080</v>
      </c>
      <c r="D59" s="6">
        <f>_xll.PIArcVal(Sheet1!$A$1,Sheet1!C59,0,"","auto")</f>
        <v>203.05000305175781</v>
      </c>
      <c r="E59" s="6">
        <f>_xll.PIArcVal(Sheet1!$A$2,Sheet1!C59,0,"","auto")</f>
        <v>592.6099853515625</v>
      </c>
      <c r="F59" s="7">
        <f>_xll.PIArcVal(Sheet1!$A$3,Sheet1!C59,0,"","auto")</f>
        <v>404537</v>
      </c>
      <c r="G59" s="7">
        <f>_xll.PIArcVal(Sheet1!$A$4,Sheet1!C59,0,"","auto")</f>
        <v>142870</v>
      </c>
      <c r="H59" s="6">
        <f>_xll.PIArcVal(Sheet1!$A$5,Sheet1!C59,0,"","auto")</f>
        <v>45.029998779296875</v>
      </c>
      <c r="I59" s="6">
        <f>_xll.PIArcVal(Sheet1!$A$6,Sheet1!C59,0,"","auto")</f>
        <v>51.270000457763672</v>
      </c>
      <c r="J59" s="6">
        <f>_xll.PIArcVal(Sheet1!$A$7,Sheet1!C59,0,"","auto")</f>
        <v>58715</v>
      </c>
      <c r="K59" s="6">
        <f>_xll.PIArcVal(Sheet1!$A$8,Sheet1!C59,0,"","auto")</f>
        <v>195109</v>
      </c>
      <c r="L59" s="6">
        <f>_xll.PIArcVal(Sheet1!$A$9,Sheet1!C59,0,"","auto")</f>
        <v>1481.9000244140625</v>
      </c>
      <c r="M59" s="6">
        <f>_xll.PIArcVal(Sheet1!$A$10,Sheet1!C59,0,"","auto")</f>
        <v>1844.9599609375</v>
      </c>
      <c r="N59" s="8">
        <f t="shared" ref="N59" si="31">(J59+F59-F58)/(D59*H59/100)/1000</f>
        <v>0.64615327682589385</v>
      </c>
      <c r="O59" s="8">
        <f t="shared" ref="O59" si="32">(K59+G59-G58)/(E59*I59/100)/1000</f>
        <v>0.6461549615251555</v>
      </c>
      <c r="P59" s="8">
        <f t="shared" ref="P59" si="33">((J59+K59)+F59+G59-F58-G58)/(D59*H59/100+E59*I59/100)/1000</f>
        <v>0.64615457181704095</v>
      </c>
      <c r="Q59" s="8">
        <f t="shared" ref="Q59" si="34">P59*H59*10</f>
        <v>290.96339580158451</v>
      </c>
      <c r="R59" s="8">
        <f t="shared" ref="R59" si="35">P59*I59*10</f>
        <v>331.28345192845779</v>
      </c>
      <c r="S59" s="4">
        <f t="shared" ref="S59" si="36">((J59+K59)+F59+G59-F58-G58)/(D59+E59)</f>
        <v>320.99389654181863</v>
      </c>
      <c r="T59" s="5">
        <f t="shared" ref="T59" si="37">IF(AL59&lt;3000,0,AL59)</f>
        <v>261073</v>
      </c>
      <c r="U59" s="5">
        <f t="shared" ref="U59" si="38">IF(AM59&lt;3000,0,AM59)</f>
        <v>0</v>
      </c>
      <c r="V59" s="5">
        <f t="shared" ref="V59" si="39">IF(AN59&lt;3000,0,AN59)</f>
        <v>4150</v>
      </c>
      <c r="W59" s="5" t="s">
        <v>51</v>
      </c>
      <c r="X59" s="7">
        <f t="shared" ref="X59" si="40">J59+K59</f>
        <v>253824</v>
      </c>
      <c r="Y59" s="4">
        <v>0.61699999999999999</v>
      </c>
      <c r="Z59" s="9">
        <v>0.624</v>
      </c>
      <c r="AA59" s="9">
        <v>0.62</v>
      </c>
      <c r="AB59" s="9">
        <v>264.32</v>
      </c>
      <c r="AC59" s="9">
        <v>323.33999999999997</v>
      </c>
      <c r="AD59" s="4">
        <v>44.27</v>
      </c>
      <c r="AE59" s="4">
        <v>52.51</v>
      </c>
      <c r="AF59" s="9">
        <v>1072</v>
      </c>
      <c r="AG59" s="9">
        <v>830</v>
      </c>
      <c r="AH59" s="4">
        <v>252143</v>
      </c>
      <c r="AI59" s="9">
        <v>0</v>
      </c>
      <c r="AJ59" s="9">
        <v>0</v>
      </c>
      <c r="AK59" s="4">
        <f t="shared" ref="AK59" si="41">SUM(AH59:AJ59)</f>
        <v>252143</v>
      </c>
      <c r="AL59" s="5">
        <f>_xll.PIArcVal(Sheet1!$A$11,Sheet1!C59,0,"","auto")</f>
        <v>261073</v>
      </c>
      <c r="AM59" s="5">
        <f>_xll.PIArcVal(Sheet1!$A$12,Sheet1!C59,0,"","auto")</f>
        <v>-611</v>
      </c>
      <c r="AN59" s="5">
        <f>_xll.PIArcVal(Sheet1!$A$13,Sheet1!C59,0,"","auto")</f>
        <v>4150</v>
      </c>
    </row>
    <row r="60" spans="2:40">
      <c r="B60" s="20">
        <v>46080</v>
      </c>
      <c r="C60" s="13">
        <v>46081</v>
      </c>
      <c r="D60" s="6">
        <f>_xll.PIArcVal(Sheet1!$A$1,Sheet1!C60,0,"","auto")</f>
        <v>212.24351501464844</v>
      </c>
      <c r="E60" s="6">
        <f>_xll.PIArcVal(Sheet1!$A$2,Sheet1!C60,0,"","auto")</f>
        <v>556.39813232421875</v>
      </c>
      <c r="F60" s="7">
        <f>_xll.PIArcVal(Sheet1!$A$3,Sheet1!C60,0,"","auto")</f>
        <v>402737.375</v>
      </c>
      <c r="G60" s="7">
        <f>_xll.PIArcVal(Sheet1!$A$4,Sheet1!C60,0,"","auto")</f>
        <v>137431.109375</v>
      </c>
      <c r="H60" s="6">
        <f>_xll.PIArcVal(Sheet1!$A$5,Sheet1!C60,0,"","auto")</f>
        <v>45.089576721191406</v>
      </c>
      <c r="I60" s="6">
        <f>_xll.PIArcVal(Sheet1!$A$6,Sheet1!C60,0,"","auto")</f>
        <v>52.010173797607422</v>
      </c>
      <c r="J60" s="6">
        <f>_xll.PIArcVal(Sheet1!$A$7,Sheet1!C60,0,"","auto")</f>
        <v>63181.3984375</v>
      </c>
      <c r="K60" s="6">
        <f>_xll.PIArcVal(Sheet1!$A$8,Sheet1!C60,0,"","auto")</f>
        <v>191051.296875</v>
      </c>
      <c r="L60" s="6">
        <f>_xll.PIArcVal(Sheet1!$A$9,Sheet1!C60,0,"","auto")</f>
        <v>1445.300048828125</v>
      </c>
      <c r="M60" s="6">
        <f>_xll.PIArcVal(Sheet1!$A$10,Sheet1!C60,0,"","auto")</f>
        <v>1619.1600341796875</v>
      </c>
      <c r="N60" s="8">
        <f t="shared" ref="N60:N65" si="42">(J60+F60-F59)/(D60*H60/100)/1000</f>
        <v>0.64139983520790045</v>
      </c>
      <c r="O60" s="8">
        <f t="shared" ref="O60:O65" si="43">(K60+G60-G59)/(E60*I60/100)/1000</f>
        <v>0.64140602092753762</v>
      </c>
      <c r="P60" s="8">
        <f t="shared" ref="P60:P65" si="44">((J60+K60)+F60+G60-F59-G59)/(D60*H60/100+E60*I60/100)/1000</f>
        <v>0.6414044836719085</v>
      </c>
      <c r="Q60" s="8">
        <f t="shared" ref="Q60:Q65" si="45">P60*H60*10</f>
        <v>289.20656675840678</v>
      </c>
      <c r="R60" s="8">
        <f t="shared" ref="R60:R65" si="46">P60*I60*10</f>
        <v>333.59558670340613</v>
      </c>
      <c r="S60" s="4">
        <f t="shared" ref="S60:S65" si="47">((J60+K60)+F60+G60-F59-G59)/(D60+E60)</f>
        <v>321.33853342793032</v>
      </c>
      <c r="T60" s="5">
        <f t="shared" ref="T60:T65" si="48">IF(AL60&lt;3000,0,AL60)</f>
        <v>255213.796875</v>
      </c>
      <c r="U60" s="5">
        <f t="shared" ref="U60:U65" si="49">IF(AM60&lt;3000,0,AM60)</f>
        <v>0</v>
      </c>
      <c r="V60" s="5">
        <f t="shared" ref="V60:V65" si="50">IF(AN60&lt;3000,0,AN60)</f>
        <v>0</v>
      </c>
      <c r="W60" s="5" t="s">
        <v>51</v>
      </c>
      <c r="X60" s="7">
        <f t="shared" ref="X60:X65" si="51">J60+K60</f>
        <v>254232.6953125</v>
      </c>
      <c r="Y60" s="4">
        <v>0.61699999999999999</v>
      </c>
      <c r="Z60" s="9">
        <v>0.624</v>
      </c>
      <c r="AA60" s="9">
        <v>0.62</v>
      </c>
      <c r="AB60" s="9">
        <v>264.32</v>
      </c>
      <c r="AC60" s="9">
        <v>323.33999999999997</v>
      </c>
      <c r="AD60" s="4">
        <v>44.27</v>
      </c>
      <c r="AE60" s="4">
        <v>52.51</v>
      </c>
      <c r="AF60" s="9">
        <v>1072</v>
      </c>
      <c r="AG60" s="9">
        <v>830</v>
      </c>
      <c r="AH60" s="4">
        <v>252143</v>
      </c>
      <c r="AI60" s="9">
        <v>0</v>
      </c>
      <c r="AJ60" s="9">
        <v>0</v>
      </c>
      <c r="AK60" s="4">
        <f t="shared" ref="AK60" si="52">SUM(AH60:AJ60)</f>
        <v>252143</v>
      </c>
      <c r="AL60" s="5">
        <f>_xll.PIArcVal(Sheet1!$A$11,Sheet1!C60,0,"","auto")</f>
        <v>255213.796875</v>
      </c>
      <c r="AM60" s="5">
        <f>_xll.PIArcVal(Sheet1!$A$12,Sheet1!C60,0,"","auto")</f>
        <v>-936.77105712890625</v>
      </c>
      <c r="AN60" s="5">
        <f>_xll.PIArcVal(Sheet1!$A$13,Sheet1!C60,0,"","auto")</f>
        <v>12.999432563781738</v>
      </c>
    </row>
    <row r="61" spans="2:40">
      <c r="B61" s="20">
        <v>46081</v>
      </c>
      <c r="C61" s="13">
        <v>46082</v>
      </c>
      <c r="D61" s="6">
        <f>_xll.PIArcVal(Sheet1!$A$1,Sheet1!C61,0,"","auto")</f>
        <v>202.87850952148438</v>
      </c>
      <c r="E61" s="6">
        <f>_xll.PIArcVal(Sheet1!$A$2,Sheet1!C61,0,"","auto")</f>
        <v>524.84716796875</v>
      </c>
      <c r="F61" s="7">
        <f>_xll.PIArcVal(Sheet1!$A$3,Sheet1!C61,0,"","auto")</f>
        <v>401849.71875</v>
      </c>
      <c r="G61" s="7">
        <f>_xll.PIArcVal(Sheet1!$A$4,Sheet1!C61,0,"","auto")</f>
        <v>134733.75</v>
      </c>
      <c r="H61" s="6">
        <f>_xll.PIArcVal(Sheet1!$A$5,Sheet1!C61,0,"","auto")</f>
        <v>44.480117797851563</v>
      </c>
      <c r="I61" s="6">
        <f>_xll.PIArcVal(Sheet1!$A$6,Sheet1!C61,0,"","auto")</f>
        <v>52.259498596191406</v>
      </c>
      <c r="J61" s="6">
        <f>_xll.PIArcVal(Sheet1!$A$7,Sheet1!C61,0,"","auto")</f>
        <v>42158.80859375</v>
      </c>
      <c r="K61" s="6">
        <f>_xll.PIArcVal(Sheet1!$A$8,Sheet1!C61,0,"","auto")</f>
        <v>128138.7109375</v>
      </c>
      <c r="L61" s="6">
        <f>_xll.PIArcVal(Sheet1!$A$9,Sheet1!C61,0,"","auto")</f>
        <v>1445.038818359375</v>
      </c>
      <c r="M61" s="6">
        <f>_xll.PIArcVal(Sheet1!$A$10,Sheet1!C61,0,"","auto")</f>
        <v>1618.8096923828125</v>
      </c>
      <c r="N61" s="8">
        <f t="shared" si="42"/>
        <v>0.45734572170213794</v>
      </c>
      <c r="O61" s="8">
        <f t="shared" si="43"/>
        <v>0.45734362310708726</v>
      </c>
      <c r="P61" s="8">
        <f t="shared" si="44"/>
        <v>0.45734414263102796</v>
      </c>
      <c r="Q61" s="8">
        <f t="shared" si="45"/>
        <v>203.42721338385553</v>
      </c>
      <c r="R61" s="8">
        <f t="shared" si="46"/>
        <v>239.00575579802566</v>
      </c>
      <c r="S61" s="4">
        <f t="shared" si="47"/>
        <v>229.08701597723569</v>
      </c>
      <c r="T61" s="5">
        <f t="shared" si="48"/>
        <v>65124.890625</v>
      </c>
      <c r="U61" s="5">
        <f t="shared" si="49"/>
        <v>105240.5625</v>
      </c>
      <c r="V61" s="5">
        <f t="shared" si="50"/>
        <v>0</v>
      </c>
      <c r="W61" s="5" t="s">
        <v>53</v>
      </c>
      <c r="X61" s="7">
        <f t="shared" si="51"/>
        <v>170297.51953125</v>
      </c>
      <c r="Y61" s="4">
        <v>0.61699999999999999</v>
      </c>
      <c r="Z61" s="9">
        <v>0.624</v>
      </c>
      <c r="AA61" s="9">
        <v>0.62</v>
      </c>
      <c r="AB61" s="9">
        <v>264.32</v>
      </c>
      <c r="AC61" s="9">
        <v>323.33999999999997</v>
      </c>
      <c r="AD61" s="4">
        <v>44.27</v>
      </c>
      <c r="AE61" s="4">
        <v>52.51</v>
      </c>
      <c r="AF61" s="9">
        <v>1072</v>
      </c>
      <c r="AG61" s="9">
        <v>830</v>
      </c>
      <c r="AH61" s="4">
        <v>252143</v>
      </c>
      <c r="AI61" s="9">
        <v>0</v>
      </c>
      <c r="AJ61" s="9">
        <v>0</v>
      </c>
      <c r="AK61" s="4">
        <v>100000</v>
      </c>
      <c r="AL61" s="5">
        <f>_xll.PIArcVal(Sheet1!$A$11,Sheet1!C61,0,"","auto")</f>
        <v>65124.890625</v>
      </c>
      <c r="AM61" s="5">
        <f>_xll.PIArcVal(Sheet1!$A$12,Sheet1!C61,0,"","auto")</f>
        <v>105240.5625</v>
      </c>
      <c r="AN61" s="5">
        <f>_xll.PIArcVal(Sheet1!$A$13,Sheet1!C61,0,"","auto")</f>
        <v>-35.998703002929688</v>
      </c>
    </row>
    <row r="62" spans="2:40">
      <c r="B62" s="20">
        <v>46082</v>
      </c>
      <c r="C62" s="13">
        <v>46083</v>
      </c>
      <c r="D62" s="6">
        <f>_xll.PIArcVal(Sheet1!$A$1,Sheet1!C62,0,"","auto")</f>
        <v>143.21257019042969</v>
      </c>
      <c r="E62" s="6">
        <f>_xll.PIArcVal(Sheet1!$A$2,Sheet1!C62,0,"","auto")</f>
        <v>405.64373779296875</v>
      </c>
      <c r="F62" s="7">
        <f>_xll.PIArcVal(Sheet1!$A$3,Sheet1!C62,0,"","auto")</f>
        <v>415831.125</v>
      </c>
      <c r="G62" s="7">
        <f>_xll.PIArcVal(Sheet1!$A$4,Sheet1!C62,0,"","auto")</f>
        <v>180450.515625</v>
      </c>
      <c r="H62" s="6">
        <f>_xll.PIArcVal(Sheet1!$A$5,Sheet1!C62,0,"","auto")</f>
        <v>44.650215148925781</v>
      </c>
      <c r="I62" s="6">
        <f>_xll.PIArcVal(Sheet1!$A$6,Sheet1!C62,0,"","auto")</f>
        <v>51.540210723876953</v>
      </c>
      <c r="J62" s="6">
        <f>_xll.PIArcVal(Sheet1!$A$7,Sheet1!C62,0,"","auto")</f>
        <v>28945.197265625</v>
      </c>
      <c r="K62" s="6">
        <f>_xll.PIArcVal(Sheet1!$A$8,Sheet1!C62,0,"","auto")</f>
        <v>94633.5703125</v>
      </c>
      <c r="L62" s="6">
        <f>_xll.PIArcVal(Sheet1!$A$9,Sheet1!C62,0,"","auto")</f>
        <v>1069.0787353515625</v>
      </c>
      <c r="M62" s="6">
        <f>_xll.PIArcVal(Sheet1!$A$10,Sheet1!C62,0,"","auto")</f>
        <v>1115.1427001953125</v>
      </c>
      <c r="N62" s="8">
        <f t="shared" si="42"/>
        <v>0.67130801477858737</v>
      </c>
      <c r="O62" s="8">
        <f t="shared" si="43"/>
        <v>0.67130903265443265</v>
      </c>
      <c r="P62" s="8">
        <f t="shared" si="44"/>
        <v>0.67130879425017032</v>
      </c>
      <c r="Q62" s="8">
        <f t="shared" si="45"/>
        <v>299.74082094636054</v>
      </c>
      <c r="R62" s="8">
        <f t="shared" si="46"/>
        <v>345.99396716445534</v>
      </c>
      <c r="S62" s="4">
        <f t="shared" si="47"/>
        <v>333.92517638454228</v>
      </c>
      <c r="T62" s="5">
        <f t="shared" si="48"/>
        <v>55842.078125</v>
      </c>
      <c r="U62" s="5">
        <f t="shared" si="49"/>
        <v>67640.265625</v>
      </c>
      <c r="V62" s="5">
        <f t="shared" si="50"/>
        <v>0</v>
      </c>
      <c r="W62" s="5" t="s">
        <v>53</v>
      </c>
      <c r="X62" s="7">
        <f t="shared" si="51"/>
        <v>123578.767578125</v>
      </c>
      <c r="Y62" s="4">
        <v>0.61699999999999999</v>
      </c>
      <c r="Z62" s="9">
        <v>0.624</v>
      </c>
      <c r="AA62" s="9">
        <v>0.62</v>
      </c>
      <c r="AB62" s="9">
        <v>264.32</v>
      </c>
      <c r="AC62" s="9">
        <v>323.33999999999997</v>
      </c>
      <c r="AD62" s="4">
        <v>44.27</v>
      </c>
      <c r="AE62" s="4">
        <v>52.51</v>
      </c>
      <c r="AF62" s="9">
        <v>1072</v>
      </c>
      <c r="AG62" s="9">
        <v>830</v>
      </c>
      <c r="AH62" s="4">
        <v>252143</v>
      </c>
      <c r="AI62" s="9">
        <v>0</v>
      </c>
      <c r="AJ62" s="9">
        <v>0</v>
      </c>
      <c r="AK62" s="4">
        <v>210000</v>
      </c>
      <c r="AL62" s="5">
        <f>_xll.PIArcVal(Sheet1!$A$11,Sheet1!C62,0,"","auto")</f>
        <v>55842.078125</v>
      </c>
      <c r="AM62" s="5">
        <f>_xll.PIArcVal(Sheet1!$A$12,Sheet1!C62,0,"","auto")</f>
        <v>67640.265625</v>
      </c>
      <c r="AN62" s="5">
        <f>_xll.PIArcVal(Sheet1!$A$13,Sheet1!C62,0,"","auto")</f>
        <v>76.001998901367188</v>
      </c>
    </row>
    <row r="63" spans="2:40">
      <c r="B63" s="20">
        <v>46083</v>
      </c>
      <c r="C63" s="13">
        <v>46084</v>
      </c>
      <c r="D63" s="6">
        <f>_xll.PIArcVal(Sheet1!$A$1,Sheet1!C63,0,"","auto")</f>
        <v>190.10929870605469</v>
      </c>
      <c r="E63" s="6">
        <f>_xll.PIArcVal(Sheet1!$A$2,Sheet1!C63,0,"","auto")</f>
        <v>396.69876098632813</v>
      </c>
      <c r="F63" s="7">
        <f>_xll.PIArcVal(Sheet1!$A$3,Sheet1!C63,0,"","auto")</f>
        <v>427506.09375</v>
      </c>
      <c r="G63" s="7">
        <f>_xll.PIArcVal(Sheet1!$A$4,Sheet1!C63,0,"","auto")</f>
        <v>208538.140625</v>
      </c>
      <c r="H63" s="6">
        <f>_xll.PIArcVal(Sheet1!$A$5,Sheet1!C63,0,"","auto")</f>
        <v>44.959903717041016</v>
      </c>
      <c r="I63" s="6">
        <f>_xll.PIArcVal(Sheet1!$A$6,Sheet1!C63,0,"","auto")</f>
        <v>51.839824676513672</v>
      </c>
      <c r="J63" s="6">
        <f>_xll.PIArcVal(Sheet1!$A$7,Sheet1!C63,0,"","auto")</f>
        <v>45063.12109375</v>
      </c>
      <c r="K63" s="6">
        <f>_xll.PIArcVal(Sheet1!$A$8,Sheet1!C63,0,"","auto")</f>
        <v>108421.875</v>
      </c>
      <c r="L63" s="6">
        <f>_xll.PIArcVal(Sheet1!$A$9,Sheet1!C63,0,"","auto")</f>
        <v>1038.6761474609375</v>
      </c>
      <c r="M63" s="6">
        <f>_xll.PIArcVal(Sheet1!$A$10,Sheet1!C63,0,"","auto")</f>
        <v>1809.328369140625</v>
      </c>
      <c r="N63" s="8">
        <f t="shared" si="42"/>
        <v>0.66381334401122094</v>
      </c>
      <c r="O63" s="8">
        <f t="shared" si="43"/>
        <v>0.66380192549847661</v>
      </c>
      <c r="P63" s="8">
        <f t="shared" si="44"/>
        <v>0.6638052779683844</v>
      </c>
      <c r="Q63" s="8">
        <f t="shared" si="45"/>
        <v>298.4462138432221</v>
      </c>
      <c r="R63" s="8">
        <f t="shared" si="46"/>
        <v>344.11549229225471</v>
      </c>
      <c r="S63" s="4">
        <f t="shared" si="47"/>
        <v>329.31993119701605</v>
      </c>
      <c r="T63" s="5">
        <f t="shared" si="48"/>
        <v>62621.4921875</v>
      </c>
      <c r="U63" s="5">
        <f t="shared" si="49"/>
        <v>90588.9453125</v>
      </c>
      <c r="V63" s="5">
        <f t="shared" si="50"/>
        <v>0</v>
      </c>
      <c r="W63" s="5" t="s">
        <v>53</v>
      </c>
      <c r="X63" s="7">
        <f t="shared" si="51"/>
        <v>153484.99609375</v>
      </c>
      <c r="Y63" s="4">
        <v>0.61699999999999999</v>
      </c>
      <c r="Z63" s="9">
        <v>0.624</v>
      </c>
      <c r="AA63" s="9">
        <v>0.62</v>
      </c>
      <c r="AB63" s="9">
        <v>264.32</v>
      </c>
      <c r="AC63" s="9">
        <v>323.33999999999997</v>
      </c>
      <c r="AD63" s="4">
        <v>44.27</v>
      </c>
      <c r="AE63" s="4">
        <v>52.51</v>
      </c>
      <c r="AF63" s="9">
        <v>1072</v>
      </c>
      <c r="AG63" s="9">
        <v>830</v>
      </c>
      <c r="AH63" s="4">
        <v>252143</v>
      </c>
      <c r="AI63" s="9">
        <v>0</v>
      </c>
      <c r="AJ63" s="9">
        <v>0</v>
      </c>
      <c r="AK63" s="4">
        <v>210000</v>
      </c>
      <c r="AL63" s="5">
        <f>_xll.PIArcVal(Sheet1!$A$11,Sheet1!C63,0,"","auto")</f>
        <v>62621.4921875</v>
      </c>
      <c r="AM63" s="5">
        <f>_xll.PIArcVal(Sheet1!$A$12,Sheet1!C63,0,"","auto")</f>
        <v>90588.9453125</v>
      </c>
      <c r="AN63" s="5">
        <f>_xll.PIArcVal(Sheet1!$A$13,Sheet1!C63,0,"","auto")</f>
        <v>248.99681091308594</v>
      </c>
    </row>
    <row r="64" spans="2:40">
      <c r="B64" s="20">
        <v>46084</v>
      </c>
      <c r="C64" s="13">
        <v>46085</v>
      </c>
      <c r="D64" s="6">
        <f>_xll.PIArcVal(Sheet1!$A$1,Sheet1!C64,0,"","auto")</f>
        <v>203.48477172851563</v>
      </c>
      <c r="E64" s="6">
        <f>_xll.PIArcVal(Sheet1!$A$2,Sheet1!C64,0,"","auto")</f>
        <v>466.8055419921875</v>
      </c>
      <c r="F64" s="7">
        <f>_xll.PIArcVal(Sheet1!$A$3,Sheet1!C64,0,"","auto")</f>
        <v>431948.90625</v>
      </c>
      <c r="G64" s="7">
        <f>_xll.PIArcVal(Sheet1!$A$4,Sheet1!C64,0,"","auto")</f>
        <v>220270.015625</v>
      </c>
      <c r="H64" s="6">
        <f>_xll.PIArcVal(Sheet1!$A$5,Sheet1!C64,0,"","auto")</f>
        <v>44.819778442382813</v>
      </c>
      <c r="I64" s="6">
        <f>_xll.PIArcVal(Sheet1!$A$6,Sheet1!C64,0,"","auto")</f>
        <v>51.589736938476563</v>
      </c>
      <c r="J64" s="6">
        <f>_xll.PIArcVal(Sheet1!$A$7,Sheet1!C64,0,"","auto")</f>
        <v>52429.515625</v>
      </c>
      <c r="K64" s="6">
        <f>_xll.PIArcVal(Sheet1!$A$8,Sheet1!C64,0,"","auto")</f>
        <v>138443.359375</v>
      </c>
      <c r="L64" s="6">
        <f>_xll.PIArcVal(Sheet1!$A$9,Sheet1!C64,0,"","auto")</f>
        <v>1148.2994384765625</v>
      </c>
      <c r="M64" s="6">
        <f>_xll.PIArcVal(Sheet1!$A$10,Sheet1!C64,0,"","auto")</f>
        <v>1390.2655029296875</v>
      </c>
      <c r="N64" s="8">
        <f t="shared" si="42"/>
        <v>0.62359035333537305</v>
      </c>
      <c r="O64" s="8">
        <f t="shared" si="43"/>
        <v>0.62358979823041194</v>
      </c>
      <c r="P64" s="8">
        <f t="shared" si="44"/>
        <v>0.62358995070789447</v>
      </c>
      <c r="Q64" s="8">
        <f t="shared" si="45"/>
        <v>279.49163429624252</v>
      </c>
      <c r="R64" s="8">
        <f t="shared" si="46"/>
        <v>321.70841514497846</v>
      </c>
      <c r="S64" s="4">
        <f t="shared" si="47"/>
        <v>308.8923683690179</v>
      </c>
      <c r="T64" s="5">
        <f t="shared" si="48"/>
        <v>18867</v>
      </c>
      <c r="U64" s="5">
        <f t="shared" si="49"/>
        <v>172056</v>
      </c>
      <c r="V64" s="5">
        <f t="shared" si="50"/>
        <v>0</v>
      </c>
      <c r="W64" s="5" t="s">
        <v>53</v>
      </c>
      <c r="X64" s="7">
        <f t="shared" si="51"/>
        <v>190872.875</v>
      </c>
      <c r="Y64" s="4">
        <v>0.61699999999999999</v>
      </c>
      <c r="Z64" s="9">
        <v>0.624</v>
      </c>
      <c r="AA64" s="9">
        <v>0.62</v>
      </c>
      <c r="AB64" s="9">
        <v>264.32</v>
      </c>
      <c r="AC64" s="9">
        <v>323.33999999999997</v>
      </c>
      <c r="AD64" s="4">
        <v>44.27</v>
      </c>
      <c r="AE64" s="4">
        <v>52.51</v>
      </c>
      <c r="AF64" s="9">
        <v>1072</v>
      </c>
      <c r="AG64" s="9">
        <v>830</v>
      </c>
      <c r="AH64" s="4">
        <v>252143</v>
      </c>
      <c r="AI64" s="9">
        <v>0</v>
      </c>
      <c r="AJ64" s="9">
        <v>0</v>
      </c>
      <c r="AK64" s="4">
        <v>210000</v>
      </c>
      <c r="AL64" s="5">
        <f>_xll.PIArcVal(Sheet1!$A$11,Sheet1!C64,0,"","auto")</f>
        <v>18867</v>
      </c>
      <c r="AM64" s="5">
        <f>_xll.PIArcVal(Sheet1!$A$12,Sheet1!C64,0,"","auto")</f>
        <v>172056</v>
      </c>
      <c r="AN64" s="5">
        <f>_xll.PIArcVal(Sheet1!$A$13,Sheet1!C64,0,"","auto")</f>
        <v>-27</v>
      </c>
    </row>
    <row r="65" spans="2:40">
      <c r="B65" s="20">
        <v>46085</v>
      </c>
      <c r="C65" s="13">
        <v>46086</v>
      </c>
      <c r="D65" s="6">
        <f>_xll.PIArcVal(Sheet1!$A$1,Sheet1!C65,0,"","auto")</f>
        <v>210.35000610351563</v>
      </c>
      <c r="E65" s="6">
        <f>_xll.PIArcVal(Sheet1!$A$2,Sheet1!C65,0,"","auto")</f>
        <v>374.05999755859375</v>
      </c>
      <c r="F65" s="7">
        <f>_xll.PIArcVal(Sheet1!$A$3,Sheet1!C65,0,"","auto")</f>
        <v>437588</v>
      </c>
      <c r="G65" s="7">
        <f>_xll.PIArcVal(Sheet1!$A$4,Sheet1!C65,0,"","auto")</f>
        <v>231812</v>
      </c>
      <c r="H65" s="6">
        <f>_xll.PIArcVal(Sheet1!$A$5,Sheet1!C65,0,"","auto")</f>
        <v>44.5</v>
      </c>
      <c r="I65" s="6">
        <f>_xll.PIArcVal(Sheet1!$A$6,Sheet1!C65,0,"","auto")</f>
        <v>51.209999084472656</v>
      </c>
      <c r="J65" s="6">
        <f>_xll.PIArcVal(Sheet1!$A$7,Sheet1!C65,0,"","auto")</f>
        <v>51730</v>
      </c>
      <c r="K65" s="6">
        <f>_xll.PIArcVal(Sheet1!$A$8,Sheet1!C65,0,"","auto")</f>
        <v>105861</v>
      </c>
      <c r="L65" s="6">
        <f>_xll.PIArcVal(Sheet1!$A$9,Sheet1!C65,0,"","auto")</f>
        <v>1147.4000244140625</v>
      </c>
      <c r="M65" s="6">
        <f>_xll.PIArcVal(Sheet1!$A$10,Sheet1!C65,0,"","auto")</f>
        <v>2204.159912109375</v>
      </c>
      <c r="N65" s="8">
        <f t="shared" si="42"/>
        <v>0.61288000027112022</v>
      </c>
      <c r="O65" s="8">
        <f t="shared" si="43"/>
        <v>0.61289079964053028</v>
      </c>
      <c r="P65" s="8">
        <f t="shared" si="44"/>
        <v>0.61288725469573047</v>
      </c>
      <c r="Q65" s="8">
        <f t="shared" si="45"/>
        <v>272.73482833960009</v>
      </c>
      <c r="R65" s="8">
        <f t="shared" si="46"/>
        <v>313.85955751853317</v>
      </c>
      <c r="S65" s="4">
        <f t="shared" si="47"/>
        <v>299.05730057634099</v>
      </c>
      <c r="T65" s="5">
        <f t="shared" si="48"/>
        <v>18867</v>
      </c>
      <c r="U65" s="5">
        <f t="shared" si="49"/>
        <v>172056</v>
      </c>
      <c r="V65" s="5">
        <f t="shared" si="50"/>
        <v>0</v>
      </c>
      <c r="W65" s="5" t="s">
        <v>53</v>
      </c>
      <c r="X65" s="7">
        <f t="shared" si="51"/>
        <v>157591</v>
      </c>
      <c r="Y65" s="4">
        <v>0.61699999999999999</v>
      </c>
      <c r="Z65" s="9">
        <v>0.624</v>
      </c>
      <c r="AA65" s="9">
        <v>0.62</v>
      </c>
      <c r="AB65" s="9">
        <v>264.32</v>
      </c>
      <c r="AC65" s="9">
        <v>323.33999999999997</v>
      </c>
      <c r="AD65" s="4">
        <v>44.27</v>
      </c>
      <c r="AE65" s="4">
        <v>52.51</v>
      </c>
      <c r="AF65" s="9">
        <v>1072</v>
      </c>
      <c r="AG65" s="9">
        <v>830</v>
      </c>
      <c r="AH65" s="4">
        <v>252143</v>
      </c>
      <c r="AI65" s="9">
        <v>0</v>
      </c>
      <c r="AJ65" s="9">
        <v>0</v>
      </c>
      <c r="AK65" s="4">
        <v>210000</v>
      </c>
      <c r="AL65" s="5">
        <f>_xll.PIArcVal(Sheet1!$A$11,Sheet1!C65,0,"","auto")</f>
        <v>18867</v>
      </c>
      <c r="AM65" s="5">
        <f>_xll.PIArcVal(Sheet1!$A$12,Sheet1!C65,0,"","auto")</f>
        <v>172056</v>
      </c>
      <c r="AN65" s="5">
        <f>_xll.PIArcVal(Sheet1!$A$13,Sheet1!C65,0,"","auto")</f>
        <v>-27</v>
      </c>
    </row>
    <row r="66" spans="2:40">
      <c r="B66" s="20">
        <v>46086</v>
      </c>
      <c r="C66" s="13">
        <v>46087</v>
      </c>
      <c r="D66" s="6">
        <f>_xll.PIArcVal(Sheet1!$A$1,Sheet1!C66,0,"","auto")</f>
        <v>200.49000549316406</v>
      </c>
      <c r="E66" s="6">
        <f>_xll.PIArcVal(Sheet1!$A$2,Sheet1!C66,0,"","auto")</f>
        <v>391.58999633789063</v>
      </c>
      <c r="F66" s="7">
        <f>_xll.PIArcVal(Sheet1!$A$3,Sheet1!C66,0,"","auto")</f>
        <v>433056</v>
      </c>
      <c r="G66" s="7">
        <f>_xll.PIArcVal(Sheet1!$A$4,Sheet1!C66,0,"","auto")</f>
        <v>221623</v>
      </c>
      <c r="H66" s="6">
        <f>_xll.PIArcVal(Sheet1!$A$5,Sheet1!C66,0,"","auto")</f>
        <v>44.509998321533203</v>
      </c>
      <c r="I66" s="6">
        <f>_xll.PIArcVal(Sheet1!$A$6,Sheet1!C66,0,"","auto")</f>
        <v>51.229999542236328</v>
      </c>
      <c r="J66" s="6">
        <f>_xll.PIArcVal(Sheet1!$A$7,Sheet1!C66,0,"","auto")</f>
        <v>61016</v>
      </c>
      <c r="K66" s="6">
        <f>_xll.PIArcVal(Sheet1!$A$8,Sheet1!C66,0,"","auto")</f>
        <v>137167</v>
      </c>
      <c r="L66" s="6">
        <f>_xll.PIArcVal(Sheet1!$A$9,Sheet1!C66,0,"","auto")</f>
        <v>1283.5</v>
      </c>
      <c r="M66" s="6">
        <f>_xll.PIArcVal(Sheet1!$A$10,Sheet1!C66,0,"","auto")</f>
        <v>2230.389892578125</v>
      </c>
      <c r="N66" s="8">
        <f t="shared" ref="N66" si="53">(J66+F66-F65)/(D66*H66/100)/1000</f>
        <v>0.63295835764517094</v>
      </c>
      <c r="O66" s="8">
        <f t="shared" ref="O66" si="54">(K66+G66-G65)/(E66*I66/100)/1000</f>
        <v>0.63295457261264465</v>
      </c>
      <c r="P66" s="8">
        <f t="shared" ref="P66" si="55">((J66+K66)+F66+G66-F65-G65)/(D66*H66/100+E66*I66/100)/1000</f>
        <v>0.63295573793784743</v>
      </c>
      <c r="Q66" s="8">
        <f t="shared" ref="Q66" si="56">P66*H66*10</f>
        <v>281.72858833218402</v>
      </c>
      <c r="R66" s="8">
        <f t="shared" ref="R66" si="57">P66*I66*10</f>
        <v>324.26322164811779</v>
      </c>
      <c r="S66" s="4">
        <f t="shared" ref="S66" si="58">((J66+K66)+F66+G66-F65-G65)/(D66+E66)</f>
        <v>309.86015307497149</v>
      </c>
      <c r="T66" s="5">
        <f t="shared" ref="T66" si="59">IF(AL66&lt;3000,0,AL66)</f>
        <v>71739</v>
      </c>
      <c r="U66" s="5">
        <f t="shared" ref="U66" si="60">IF(AM66&lt;3000,0,AM66)</f>
        <v>85811</v>
      </c>
      <c r="V66" s="5">
        <f t="shared" ref="V66" si="61">IF(AN66&lt;3000,0,AN66)</f>
        <v>0</v>
      </c>
      <c r="W66" s="5" t="s">
        <v>53</v>
      </c>
      <c r="X66" s="7">
        <f t="shared" ref="X66" si="62">J66+K66</f>
        <v>198183</v>
      </c>
      <c r="Y66" s="4">
        <v>0.61699999999999999</v>
      </c>
      <c r="Z66" s="9">
        <v>0.624</v>
      </c>
      <c r="AA66" s="9">
        <v>0.62</v>
      </c>
      <c r="AB66" s="9">
        <v>264.32</v>
      </c>
      <c r="AC66" s="9">
        <v>323.33999999999997</v>
      </c>
      <c r="AD66" s="4">
        <v>44.27</v>
      </c>
      <c r="AE66" s="4">
        <v>52.51</v>
      </c>
      <c r="AF66" s="9">
        <v>1072</v>
      </c>
      <c r="AG66" s="9">
        <v>830</v>
      </c>
      <c r="AH66" s="4">
        <v>252143</v>
      </c>
      <c r="AI66" s="9">
        <v>0</v>
      </c>
      <c r="AJ66" s="9">
        <v>0</v>
      </c>
      <c r="AK66" s="4">
        <v>210000</v>
      </c>
      <c r="AL66" s="5">
        <f>_xll.PIArcVal(Sheet1!$A$11,Sheet1!C66,0,"","auto")</f>
        <v>71739</v>
      </c>
      <c r="AM66" s="5">
        <f>_xll.PIArcVal(Sheet1!$A$12,Sheet1!C66,0,"","auto")</f>
        <v>85811</v>
      </c>
      <c r="AN66" s="5">
        <f>_xll.PIArcVal(Sheet1!$A$13,Sheet1!C66,0,"","auto")</f>
        <v>41</v>
      </c>
    </row>
    <row r="67" spans="2:40">
      <c r="B67" s="20">
        <v>46087</v>
      </c>
      <c r="C67" s="13">
        <v>46088</v>
      </c>
      <c r="D67" s="6">
        <f>_xll.PIArcVal(Sheet1!$A$1,Sheet1!C67,0,"","auto")</f>
        <v>201.21138000488281</v>
      </c>
      <c r="E67" s="6">
        <f>_xll.PIArcVal(Sheet1!$A$2,Sheet1!C67,0,"","auto")</f>
        <v>562.21746826171875</v>
      </c>
      <c r="F67" s="7">
        <f>_xll.PIArcVal(Sheet1!$A$3,Sheet1!C67,0,"","auto")</f>
        <v>437306.59375</v>
      </c>
      <c r="G67" s="7">
        <f>_xll.PIArcVal(Sheet1!$A$4,Sheet1!C67,0,"","auto")</f>
        <v>235282.8125</v>
      </c>
      <c r="H67" s="6">
        <f>_xll.PIArcVal(Sheet1!$A$5,Sheet1!C67,0,"","auto")</f>
        <v>44.749916076660156</v>
      </c>
      <c r="I67" s="6">
        <f>_xll.PIArcVal(Sheet1!$A$6,Sheet1!C67,0,"","auto")</f>
        <v>51.459812164306641</v>
      </c>
      <c r="J67" s="6">
        <f>_xll.PIArcVal(Sheet1!$A$7,Sheet1!C67,0,"","auto")</f>
        <v>50977.296875</v>
      </c>
      <c r="K67" s="6">
        <f>_xll.PIArcVal(Sheet1!$A$8,Sheet1!C67,0,"","auto")</f>
        <v>163796.03125</v>
      </c>
      <c r="L67" s="6">
        <f>_xll.PIArcVal(Sheet1!$A$9,Sheet1!C67,0,"","auto")</f>
        <v>1513.0635986328125</v>
      </c>
      <c r="M67" s="6">
        <f>_xll.PIArcVal(Sheet1!$A$10,Sheet1!C67,0,"","auto")</f>
        <v>2154.214111328125</v>
      </c>
      <c r="N67" s="8">
        <f t="shared" ref="N67:N70" si="63">(J67+F67-F66)/(D67*H67/100)/1000</f>
        <v>0.6133575157260186</v>
      </c>
      <c r="O67" s="8">
        <f t="shared" ref="O67:O70" si="64">(K67+G67-G66)/(E67*I67/100)/1000</f>
        <v>0.61336328155604913</v>
      </c>
      <c r="P67" s="8">
        <f t="shared" ref="P67:P70" si="65">((J67+K67)+F67+G67-F66-G66)/(D67*H67/100+E67*I67/100)/1000</f>
        <v>0.61336191301641296</v>
      </c>
      <c r="Q67" s="8">
        <f t="shared" ref="Q67:Q70" si="66">P67*H67*10</f>
        <v>274.47894132104204</v>
      </c>
      <c r="R67" s="8">
        <f t="shared" ref="R67:R70" si="67">P67*I67*10</f>
        <v>315.634888325644</v>
      </c>
      <c r="S67" s="4">
        <f t="shared" ref="S67:S70" si="68">((J67+K67)+F67+G67-F66-G66)/(D67+E67)</f>
        <v>304.78771519221283</v>
      </c>
      <c r="T67" s="5">
        <f t="shared" ref="T67:T70" si="69">IF(AL67&lt;3000,0,AL67)</f>
        <v>0</v>
      </c>
      <c r="U67" s="5">
        <f t="shared" ref="U67:U70" si="70">IF(AM67&lt;3000,0,AM67)</f>
        <v>214874.09375</v>
      </c>
      <c r="V67" s="5">
        <f t="shared" ref="V67:V70" si="71">IF(AN67&lt;3000,0,AN67)</f>
        <v>0</v>
      </c>
      <c r="W67" s="5" t="s">
        <v>53</v>
      </c>
      <c r="X67" s="7">
        <f t="shared" ref="X67:X70" si="72">J67+K67</f>
        <v>214773.328125</v>
      </c>
      <c r="Y67" s="4">
        <v>0.61699999999999999</v>
      </c>
      <c r="Z67" s="9">
        <v>0.624</v>
      </c>
      <c r="AA67" s="9">
        <v>0.62</v>
      </c>
      <c r="AB67" s="9">
        <v>264.32</v>
      </c>
      <c r="AC67" s="9">
        <v>323.33999999999997</v>
      </c>
      <c r="AD67" s="4">
        <v>44.27</v>
      </c>
      <c r="AE67" s="4">
        <v>52.51</v>
      </c>
      <c r="AF67" s="9">
        <v>1072</v>
      </c>
      <c r="AG67" s="9">
        <v>830</v>
      </c>
      <c r="AH67" s="4">
        <v>252143</v>
      </c>
      <c r="AI67" s="9">
        <v>0</v>
      </c>
      <c r="AJ67" s="9">
        <v>0</v>
      </c>
      <c r="AK67" s="4">
        <v>210000</v>
      </c>
      <c r="AL67" s="5">
        <f>_xll.PIArcVal(Sheet1!$A$11,Sheet1!C67,0,"","auto")</f>
        <v>-106.99946594238281</v>
      </c>
      <c r="AM67" s="5">
        <f>_xll.PIArcVal(Sheet1!$A$12,Sheet1!C67,0,"","auto")</f>
        <v>214874.09375</v>
      </c>
      <c r="AN67" s="5">
        <f>_xll.PIArcVal(Sheet1!$A$13,Sheet1!C67,0,"","auto")</f>
        <v>6.0416664928197861E-3</v>
      </c>
    </row>
    <row r="68" spans="2:40">
      <c r="B68" s="20">
        <v>46088</v>
      </c>
      <c r="C68" s="13">
        <v>46089</v>
      </c>
      <c r="D68" s="6">
        <f>_xll.PIArcVal(Sheet1!$A$1,Sheet1!C68,0,"","auto")</f>
        <v>160.03988647460938</v>
      </c>
      <c r="E68" s="6">
        <f>_xll.PIArcVal(Sheet1!$A$2,Sheet1!C68,0,"","auto")</f>
        <v>616.08831787109375</v>
      </c>
      <c r="F68" s="7">
        <f>_xll.PIArcVal(Sheet1!$A$3,Sheet1!C68,0,"","auto")</f>
        <v>442472.15625</v>
      </c>
      <c r="G68" s="7">
        <f>_xll.PIArcVal(Sheet1!$A$4,Sheet1!C68,0,"","auto")</f>
        <v>258081.984375</v>
      </c>
      <c r="H68" s="6">
        <f>_xll.PIArcVal(Sheet1!$A$5,Sheet1!C68,0,"","auto")</f>
        <v>44.630237579345703</v>
      </c>
      <c r="I68" s="6">
        <f>_xll.PIArcVal(Sheet1!$A$6,Sheet1!C68,0,"","auto")</f>
        <v>51.190254211425781</v>
      </c>
      <c r="J68" s="6">
        <f>_xll.PIArcVal(Sheet1!$A$7,Sheet1!C68,0,"","auto")</f>
        <v>41330.3984375</v>
      </c>
      <c r="K68" s="6">
        <f>_xll.PIArcVal(Sheet1!$A$8,Sheet1!C68,0,"","auto")</f>
        <v>182499.484375</v>
      </c>
      <c r="L68" s="6">
        <f>_xll.PIArcVal(Sheet1!$A$9,Sheet1!C68,0,"","auto")</f>
        <v>1172.776123046875</v>
      </c>
      <c r="M68" s="6">
        <f>_xll.PIArcVal(Sheet1!$A$10,Sheet1!C68,0,"","auto")</f>
        <v>2620.521728515625</v>
      </c>
      <c r="N68" s="8">
        <f t="shared" si="63"/>
        <v>0.65096523326645894</v>
      </c>
      <c r="O68" s="8">
        <f t="shared" si="64"/>
        <v>0.65096231375537694</v>
      </c>
      <c r="P68" s="8">
        <f t="shared" si="65"/>
        <v>0.65096285286530053</v>
      </c>
      <c r="Q68" s="8">
        <f t="shared" si="66"/>
        <v>290.5262677870702</v>
      </c>
      <c r="R68" s="8">
        <f t="shared" si="67"/>
        <v>333.2295392036969</v>
      </c>
      <c r="S68" s="4">
        <f t="shared" si="68"/>
        <v>324.42400079993178</v>
      </c>
      <c r="T68" s="5">
        <f t="shared" si="69"/>
        <v>0</v>
      </c>
      <c r="U68" s="5">
        <f t="shared" si="70"/>
        <v>223406.296875</v>
      </c>
      <c r="V68" s="5">
        <f t="shared" si="71"/>
        <v>0</v>
      </c>
      <c r="W68" s="5" t="s">
        <v>53</v>
      </c>
      <c r="X68" s="7">
        <f t="shared" si="72"/>
        <v>223829.8828125</v>
      </c>
      <c r="Y68" s="4">
        <v>0.61699999999999999</v>
      </c>
      <c r="Z68" s="9">
        <v>0.624</v>
      </c>
      <c r="AA68" s="9">
        <v>0.62</v>
      </c>
      <c r="AB68" s="9">
        <v>264.32</v>
      </c>
      <c r="AC68" s="9">
        <v>323.33999999999997</v>
      </c>
      <c r="AD68" s="4">
        <v>44.27</v>
      </c>
      <c r="AE68" s="4">
        <v>52.51</v>
      </c>
      <c r="AF68" s="9">
        <v>1072</v>
      </c>
      <c r="AG68" s="9">
        <v>830</v>
      </c>
      <c r="AH68" s="4">
        <v>252143</v>
      </c>
      <c r="AI68" s="9">
        <v>0</v>
      </c>
      <c r="AJ68" s="9">
        <v>0</v>
      </c>
      <c r="AK68" s="4">
        <v>210000</v>
      </c>
      <c r="AL68" s="5">
        <f>_xll.PIArcVal(Sheet1!$A$11,Sheet1!C68,0,"","auto")</f>
        <v>-59.948276519775391</v>
      </c>
      <c r="AM68" s="5">
        <f>_xll.PIArcVal(Sheet1!$A$12,Sheet1!C68,0,"","auto")</f>
        <v>223406.296875</v>
      </c>
      <c r="AN68" s="5">
        <f>_xll.PIArcVal(Sheet1!$A$13,Sheet1!C68,0,"","auto")</f>
        <v>521.9931640625</v>
      </c>
    </row>
    <row r="69" spans="2:40">
      <c r="B69" s="20">
        <v>46089</v>
      </c>
      <c r="C69" s="13">
        <v>46090</v>
      </c>
      <c r="D69" s="6">
        <f>_xll.PIArcVal(Sheet1!$A$1,Sheet1!C69,0,"","auto")</f>
        <v>203.01661682128906</v>
      </c>
      <c r="E69" s="6">
        <f>_xll.PIArcVal(Sheet1!$A$2,Sheet1!C69,0,"","auto")</f>
        <v>555.98388671875</v>
      </c>
      <c r="F69" s="7">
        <f>_xll.PIArcVal(Sheet1!$A$3,Sheet1!C69,0,"","auto")</f>
        <v>458506.3125</v>
      </c>
      <c r="G69" s="7">
        <f>_xll.PIArcVal(Sheet1!$A$4,Sheet1!C69,0,"","auto")</f>
        <v>308427.0625</v>
      </c>
      <c r="H69" s="6">
        <f>_xll.PIArcVal(Sheet1!$A$5,Sheet1!C69,0,"","auto")</f>
        <v>44.969474792480469</v>
      </c>
      <c r="I69" s="6">
        <f>_xll.PIArcVal(Sheet1!$A$6,Sheet1!C69,0,"","auto")</f>
        <v>51.560153961181641</v>
      </c>
      <c r="J69" s="6">
        <f>_xll.PIArcVal(Sheet1!$A$7,Sheet1!C69,0,"","auto")</f>
        <v>40465.6015625</v>
      </c>
      <c r="K69" s="6">
        <f>_xll.PIArcVal(Sheet1!$A$8,Sheet1!C69,0,"","auto")</f>
        <v>127062.1953125</v>
      </c>
      <c r="L69" s="6">
        <f>_xll.PIArcVal(Sheet1!$A$9,Sheet1!C69,0,"","auto")</f>
        <v>1138.440673828125</v>
      </c>
      <c r="M69" s="6">
        <f>_xll.PIArcVal(Sheet1!$A$10,Sheet1!C69,0,"","auto")</f>
        <v>2076.8642578125</v>
      </c>
      <c r="N69" s="8">
        <f t="shared" si="63"/>
        <v>0.61886679954160884</v>
      </c>
      <c r="O69" s="8">
        <f t="shared" si="64"/>
        <v>0.61886370148849901</v>
      </c>
      <c r="P69" s="8">
        <f t="shared" si="65"/>
        <v>0.61886444981395494</v>
      </c>
      <c r="Q69" s="8">
        <f t="shared" si="66"/>
        <v>278.30009275870941</v>
      </c>
      <c r="R69" s="8">
        <f t="shared" si="67"/>
        <v>319.08746313509488</v>
      </c>
      <c r="S69" s="4">
        <f t="shared" si="68"/>
        <v>308.17770233226315</v>
      </c>
      <c r="T69" s="5">
        <f t="shared" si="69"/>
        <v>90808</v>
      </c>
      <c r="U69" s="5">
        <f t="shared" si="70"/>
        <v>76791</v>
      </c>
      <c r="V69" s="5">
        <f t="shared" si="71"/>
        <v>0</v>
      </c>
      <c r="W69" s="5" t="s">
        <v>53</v>
      </c>
      <c r="X69" s="7">
        <f t="shared" si="72"/>
        <v>167527.796875</v>
      </c>
      <c r="Y69" s="4">
        <v>0.61699999999999999</v>
      </c>
      <c r="Z69" s="9">
        <v>0.624</v>
      </c>
      <c r="AA69" s="9">
        <v>0.62</v>
      </c>
      <c r="AB69" s="9">
        <v>264.32</v>
      </c>
      <c r="AC69" s="9">
        <v>323.33999999999997</v>
      </c>
      <c r="AD69" s="4">
        <v>44.27</v>
      </c>
      <c r="AE69" s="4">
        <v>52.51</v>
      </c>
      <c r="AF69" s="9">
        <v>1072</v>
      </c>
      <c r="AG69" s="9">
        <v>830</v>
      </c>
      <c r="AH69" s="4">
        <v>252143</v>
      </c>
      <c r="AI69" s="9">
        <v>0</v>
      </c>
      <c r="AJ69" s="9">
        <v>0</v>
      </c>
      <c r="AK69" s="4">
        <v>210000</v>
      </c>
      <c r="AL69" s="5">
        <f>_xll.PIArcVal(Sheet1!$A$11,Sheet1!C69,0,"","auto")</f>
        <v>90808</v>
      </c>
      <c r="AM69" s="5">
        <f>_xll.PIArcVal(Sheet1!$A$12,Sheet1!C69,0,"","auto")</f>
        <v>76791</v>
      </c>
      <c r="AN69" s="5">
        <f>_xll.PIArcVal(Sheet1!$A$13,Sheet1!C69,0,"","auto")</f>
        <v>-67</v>
      </c>
    </row>
    <row r="70" spans="2:40">
      <c r="B70" s="20">
        <v>46090</v>
      </c>
      <c r="C70" s="13">
        <v>46091</v>
      </c>
      <c r="D70" s="6">
        <f>_xll.PIArcVal(Sheet1!$A$1,Sheet1!C70,0,"","auto")</f>
        <v>154.97999572753906</v>
      </c>
      <c r="E70" s="6">
        <f>_xll.PIArcVal(Sheet1!$A$2,Sheet1!C70,0,"","auto")</f>
        <v>403.27999877929688</v>
      </c>
      <c r="F70" s="7">
        <f>_xll.PIArcVal(Sheet1!$A$3,Sheet1!C70,0,"","auto")</f>
        <v>461840</v>
      </c>
      <c r="G70" s="7">
        <f>_xll.PIArcVal(Sheet1!$A$4,Sheet1!C70,0,"","auto")</f>
        <v>318587</v>
      </c>
      <c r="H70" s="6">
        <f>_xll.PIArcVal(Sheet1!$A$5,Sheet1!C70,0,"","auto")</f>
        <v>44.209999084472656</v>
      </c>
      <c r="I70" s="6">
        <f>_xll.PIArcVal(Sheet1!$A$6,Sheet1!C70,0,"","auto")</f>
        <v>51.779998779296875</v>
      </c>
      <c r="J70" s="6">
        <f>_xll.PIArcVal(Sheet1!$A$7,Sheet1!C70,0,"","auto")</f>
        <v>39894</v>
      </c>
      <c r="K70" s="6">
        <f>_xll.PIArcVal(Sheet1!$A$8,Sheet1!C70,0,"","auto")</f>
        <v>121584</v>
      </c>
      <c r="L70" s="6">
        <f>_xll.PIArcVal(Sheet1!$A$9,Sheet1!C70,0,"","auto")</f>
        <v>1340.800048828125</v>
      </c>
      <c r="M70" s="6">
        <f>_xll.PIArcVal(Sheet1!$A$10,Sheet1!C70,0,"","auto")</f>
        <v>2687.570068359375</v>
      </c>
      <c r="N70" s="8">
        <f t="shared" si="63"/>
        <v>0.63090773614320561</v>
      </c>
      <c r="O70" s="8">
        <f t="shared" si="64"/>
        <v>0.63090202347613999</v>
      </c>
      <c r="P70" s="8">
        <f t="shared" si="65"/>
        <v>0.63090343481185285</v>
      </c>
      <c r="Q70" s="8">
        <f t="shared" si="66"/>
        <v>278.92240275422671</v>
      </c>
      <c r="R70" s="8">
        <f t="shared" si="67"/>
        <v>326.68179084411946</v>
      </c>
      <c r="S70" s="4">
        <f t="shared" si="68"/>
        <v>313.42318403913043</v>
      </c>
      <c r="T70" s="5">
        <f t="shared" si="69"/>
        <v>0</v>
      </c>
      <c r="U70" s="5">
        <f t="shared" si="70"/>
        <v>0</v>
      </c>
      <c r="V70" s="5">
        <f t="shared" si="71"/>
        <v>0</v>
      </c>
      <c r="W70" s="5" t="s">
        <v>53</v>
      </c>
      <c r="X70" s="7">
        <f t="shared" si="72"/>
        <v>161478</v>
      </c>
      <c r="Y70" s="4">
        <v>0.61699999999999999</v>
      </c>
      <c r="Z70" s="9">
        <v>0.624</v>
      </c>
      <c r="AA70" s="9">
        <v>0.62</v>
      </c>
      <c r="AB70" s="9">
        <v>264.32</v>
      </c>
      <c r="AC70" s="9">
        <v>323.33999999999997</v>
      </c>
      <c r="AD70" s="4">
        <v>44.27</v>
      </c>
      <c r="AE70" s="4">
        <v>52.51</v>
      </c>
      <c r="AF70" s="4"/>
      <c r="AG70" s="4"/>
      <c r="AH70" s="4"/>
      <c r="AI70" s="4"/>
      <c r="AJ70" s="4"/>
      <c r="AK70" s="4"/>
      <c r="AL70" s="4"/>
      <c r="AM70" s="4"/>
      <c r="AN70" s="4"/>
    </row>
    <row r="71" spans="2:40">
      <c r="B71" s="20">
        <v>46091</v>
      </c>
      <c r="C71" s="13">
        <v>46092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spans="2:40">
      <c r="B72" s="20">
        <v>46092</v>
      </c>
      <c r="C72" s="13">
        <v>46093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spans="2:40">
      <c r="B73" s="20">
        <v>46093</v>
      </c>
      <c r="C73" s="13">
        <v>46094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spans="2:40">
      <c r="B74" s="20">
        <v>46094</v>
      </c>
      <c r="C74" s="13">
        <v>46095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spans="2:40">
      <c r="B75" s="20">
        <v>46095</v>
      </c>
      <c r="C75" s="13">
        <v>46096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spans="2:40">
      <c r="B76" s="20">
        <v>46096</v>
      </c>
      <c r="C76" s="13">
        <v>46097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spans="2:40">
      <c r="B77" s="20">
        <v>46097</v>
      </c>
      <c r="C77" s="13">
        <v>46098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spans="2:40">
      <c r="B78" s="20">
        <v>46098</v>
      </c>
      <c r="C78" s="13">
        <v>46099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spans="2:40">
      <c r="B79" s="20">
        <v>46099</v>
      </c>
      <c r="C79" s="13">
        <v>46100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 spans="2:40">
      <c r="B80" s="20">
        <v>46100</v>
      </c>
      <c r="C80" s="13">
        <v>46101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spans="2:40">
      <c r="B81" s="20">
        <v>46101</v>
      </c>
      <c r="C81" s="13">
        <v>46102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spans="2:40">
      <c r="B82" s="20">
        <v>46102</v>
      </c>
      <c r="C82" s="13">
        <v>46103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spans="2:40">
      <c r="B83" s="20">
        <v>46103</v>
      </c>
      <c r="C83" s="13">
        <v>46104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 spans="2:40">
      <c r="B84" s="20">
        <v>46104</v>
      </c>
      <c r="C84" s="13">
        <v>46105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spans="2:40">
      <c r="B85" s="20">
        <v>46105</v>
      </c>
      <c r="C85" s="13">
        <v>46106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 spans="2:40">
      <c r="B86" s="20">
        <v>46106</v>
      </c>
      <c r="C86" s="13">
        <v>46107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spans="2:40">
      <c r="B87" s="20">
        <v>46107</v>
      </c>
      <c r="C87" s="13">
        <v>46108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 spans="2:40">
      <c r="B88" s="20">
        <v>46108</v>
      </c>
      <c r="C88" s="13">
        <v>46109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 spans="2:40">
      <c r="B89" s="20">
        <v>46109</v>
      </c>
      <c r="C89" s="13">
        <v>46110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 spans="2:40">
      <c r="B90" s="20">
        <v>46110</v>
      </c>
      <c r="C90" s="13">
        <v>46111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spans="2:40">
      <c r="B91" s="20">
        <v>46111</v>
      </c>
      <c r="C91" s="13">
        <v>46112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 spans="2:40">
      <c r="B92" s="20">
        <v>46112</v>
      </c>
      <c r="C92" s="13">
        <v>46113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</sheetData>
  <mergeCells count="1">
    <mergeCell ref="AR4:BL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Jeeratheep Khajornsakwongwai</dc:creator>
  <cp:lastModifiedBy>Jeeratheep Khajornsakwongwai</cp:lastModifiedBy>
  <dcterms:created xsi:type="dcterms:W3CDTF">2026-01-12T06:21:23Z</dcterms:created>
  <dcterms:modified xsi:type="dcterms:W3CDTF">2026-03-10T01:16:44Z</dcterms:modified>
</cp:coreProperties>
</file>