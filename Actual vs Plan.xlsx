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1" i="1" l="1"/>
  <c r="F41" i="1"/>
  <c r="G41" i="1"/>
  <c r="H41" i="1"/>
  <c r="I41" i="1"/>
  <c r="J41" i="1"/>
  <c r="K41" i="1"/>
  <c r="L41" i="1"/>
  <c r="M41" i="1"/>
  <c r="AL41" i="1"/>
  <c r="AM41" i="1"/>
  <c r="AN41" i="1"/>
  <c r="D41" i="1"/>
  <c r="E41" i="1"/>
  <c r="V41" i="1" l="1"/>
  <c r="U41" i="1"/>
  <c r="T41" i="1"/>
  <c r="O41" i="1"/>
  <c r="S41" i="1"/>
  <c r="X41" i="1"/>
  <c r="N41" i="1"/>
  <c r="P41" i="1"/>
  <c r="Q41" i="1" l="1"/>
  <c r="R41" i="1"/>
  <c r="AK38" i="1" l="1"/>
  <c r="E38" i="1"/>
  <c r="AL38" i="1"/>
  <c r="F38" i="1"/>
  <c r="G38" i="1"/>
  <c r="L38" i="1"/>
  <c r="M38" i="1"/>
  <c r="AM38" i="1"/>
  <c r="AN38" i="1"/>
  <c r="H38" i="1"/>
  <c r="I38" i="1"/>
  <c r="J38" i="1"/>
  <c r="K38" i="1"/>
  <c r="D38" i="1"/>
  <c r="O38" i="1" l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<sst xmlns="http://schemas.openxmlformats.org/spreadsheetml/2006/main" count="91" uniqueCount="53">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</sst>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I48" sqref="I48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f>_xll.PIArcVal(Sheet1!$A$1,Sheet1!C41,0,"","auto")</f>
        <v>325.8699951171875</v>
      </c>
      <c r="E41" s="6">
        <f>_xll.PIArcVal(Sheet1!$A$2,Sheet1!C41,0,"","auto")</f>
        <v>532.15997314453125</v>
      </c>
      <c r="F41" s="7">
        <f>_xll.PIArcVal(Sheet1!$A$3,Sheet1!C41,0,"","auto")</f>
        <v>416906</v>
      </c>
      <c r="G41" s="7">
        <f>_xll.PIArcVal(Sheet1!$A$4,Sheet1!C41,0,"","auto")</f>
        <v>172831</v>
      </c>
      <c r="H41" s="6">
        <f>_xll.PIArcVal(Sheet1!$A$5,Sheet1!C41,0,"","auto")</f>
        <v>43.009998321533203</v>
      </c>
      <c r="I41" s="6">
        <f>_xll.PIArcVal(Sheet1!$A$6,Sheet1!C41,0,"","auto")</f>
        <v>52.189998626708984</v>
      </c>
      <c r="J41" s="6">
        <f>_xll.PIArcVal(Sheet1!$A$7,Sheet1!C41,0,"","auto")</f>
        <v>87671</v>
      </c>
      <c r="K41" s="6">
        <f>_xll.PIArcVal(Sheet1!$A$8,Sheet1!C41,0,"","auto")</f>
        <v>173729</v>
      </c>
      <c r="L41" s="6">
        <f>_xll.PIArcVal(Sheet1!$A$9,Sheet1!C41,0,"","auto")</f>
        <v>1141.699951171875</v>
      </c>
      <c r="M41" s="6">
        <f>_xll.PIArcVal(Sheet1!$A$10,Sheet1!C41,0,"","auto")</f>
        <v>1405.5400390625</v>
      </c>
      <c r="N41" s="8">
        <f t="shared" ref="N41" si="11">(J41+F41-F40)/(D41*H41/100)/1000</f>
        <v>0.58291192636765532</v>
      </c>
      <c r="O41" s="8">
        <f t="shared" ref="O41" si="12">(K41+G41-G40)/(E41*I41/100)/1000</f>
        <v>0.58290967337600053</v>
      </c>
      <c r="P41" s="8">
        <f t="shared" ref="P41" si="13">((J41+K41)+F41+G41-F40-G40)/(D41*H41/100+E41*I41/100)/1000</f>
        <v>0.58291042900810974</v>
      </c>
      <c r="Q41" s="8">
        <f t="shared" ref="Q41" si="14">P41*H41*10</f>
        <v>250.70976573242999</v>
      </c>
      <c r="R41" s="8">
        <f t="shared" ref="R41" si="15">P41*I41*10</f>
        <v>304.22094489427593</v>
      </c>
      <c r="S41" s="4">
        <f t="shared" ref="S41" si="16">((J41+K41)+F41+G41-F40-G40)/(D41+E41)</f>
        <v>283.89800940577237</v>
      </c>
      <c r="T41" s="5">
        <f t="shared" ref="T41" si="17">IF(AL41&lt;3000,0,AL41)</f>
        <v>261643</v>
      </c>
      <c r="U41" s="5">
        <f t="shared" ref="U41" si="18">IF(AM41&lt;3000,0,AM41)</f>
        <v>0</v>
      </c>
      <c r="V41" s="5">
        <f t="shared" ref="V41" si="19">IF(AN41&lt;3000,0,AN41)</f>
        <v>0</v>
      </c>
      <c r="W41" s="5" t="s">
        <v>51</v>
      </c>
      <c r="X41" s="7">
        <f t="shared" ref="X41" si="20">J41+K41</f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f t="shared" ref="AK41" si="21">SUM(AH41:AJ41)</f>
        <v>250000</v>
      </c>
      <c r="AL41" s="5">
        <f>_xll.PIArcVal(Sheet1!$A$11,Sheet1!C41,0,"","auto")</f>
        <v>261643</v>
      </c>
      <c r="AM41" s="5">
        <f>_xll.PIArcVal(Sheet1!$A$12,Sheet1!C41,0,"","auto")</f>
        <v>-274</v>
      </c>
      <c r="AN41" s="5">
        <f>_xll.PIArcVal(Sheet1!$A$13,Sheet1!C41,0,"","auto")</f>
        <v>31</v>
      </c>
    </row>
    <row r="42" spans="2:40">
      <c r="B42" s="20">
        <v>46062</v>
      </c>
      <c r="C42" s="13">
        <v>46063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2:40">
      <c r="B43" s="20">
        <v>46063</v>
      </c>
      <c r="C43" s="13">
        <v>46064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2026-02-09T02:32:11Z</dcterms:modified>
</cp:coreProperties>
</file>