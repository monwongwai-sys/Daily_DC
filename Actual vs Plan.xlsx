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Python_Project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7" i="1" l="1"/>
  <c r="U67" i="1"/>
  <c r="V67" i="1"/>
  <c r="T68" i="1"/>
  <c r="U68" i="1"/>
  <c r="V68" i="1"/>
  <c r="T69" i="1"/>
  <c r="U69" i="1"/>
  <c r="V69" i="1"/>
  <c r="D67" i="1"/>
  <c r="H68" i="1"/>
  <c r="L69" i="1"/>
  <c r="D70" i="1"/>
  <c r="L68" i="1"/>
  <c r="E67" i="1"/>
  <c r="I68" i="1"/>
  <c r="M69" i="1"/>
  <c r="E70" i="1"/>
  <c r="D69" i="1"/>
  <c r="I67" i="1"/>
  <c r="I70" i="1"/>
  <c r="F69" i="1"/>
  <c r="J70" i="1"/>
  <c r="K67" i="1"/>
  <c r="G69" i="1"/>
  <c r="K70" i="1"/>
  <c r="L67" i="1"/>
  <c r="D68" i="1"/>
  <c r="H69" i="1"/>
  <c r="L70" i="1"/>
  <c r="M67" i="1"/>
  <c r="E68" i="1"/>
  <c r="M70" i="1"/>
  <c r="F68" i="1"/>
  <c r="J69" i="1"/>
  <c r="G68" i="1"/>
  <c r="K69" i="1"/>
  <c r="F67" i="1"/>
  <c r="J68" i="1"/>
  <c r="F70" i="1"/>
  <c r="H70" i="1"/>
  <c r="M68" i="1"/>
  <c r="G67" i="1"/>
  <c r="K68" i="1"/>
  <c r="G70" i="1"/>
  <c r="H67" i="1"/>
  <c r="E69" i="1"/>
  <c r="J67" i="1"/>
  <c r="I69" i="1"/>
  <c r="AL68" i="1"/>
  <c r="AM68" i="1"/>
  <c r="AL69" i="1"/>
  <c r="AM69" i="1"/>
  <c r="AN69" i="1"/>
  <c r="AN68" i="1"/>
  <c r="AL70" i="1"/>
  <c r="AM70" i="1"/>
  <c r="AN70" i="1"/>
  <c r="D71" i="1"/>
  <c r="E72" i="1"/>
  <c r="F73" i="1"/>
  <c r="G72" i="1"/>
  <c r="H73" i="1"/>
  <c r="H72" i="1"/>
  <c r="I73" i="1"/>
  <c r="H71" i="1"/>
  <c r="J73" i="1"/>
  <c r="J72" i="1"/>
  <c r="K73" i="1"/>
  <c r="K72" i="1"/>
  <c r="AL73" i="1"/>
  <c r="L72" i="1"/>
  <c r="M73" i="1"/>
  <c r="L71" i="1"/>
  <c r="AM72" i="1"/>
  <c r="M71" i="1"/>
  <c r="AN72" i="1"/>
  <c r="AN71" i="1"/>
  <c r="D73" i="1"/>
  <c r="D72" i="1"/>
  <c r="E73" i="1"/>
  <c r="E71" i="1"/>
  <c r="F72" i="1"/>
  <c r="G73" i="1"/>
  <c r="F71" i="1"/>
  <c r="G71" i="1"/>
  <c r="I72" i="1"/>
  <c r="I71" i="1"/>
  <c r="J71" i="1"/>
  <c r="L73" i="1"/>
  <c r="K71" i="1"/>
  <c r="AL72" i="1"/>
  <c r="AM73" i="1"/>
  <c r="AL71" i="1"/>
  <c r="M72" i="1"/>
  <c r="AN73" i="1"/>
  <c r="AM71" i="1"/>
  <c r="D74" i="1"/>
  <c r="E75" i="1"/>
  <c r="F76" i="1"/>
  <c r="E74" i="1"/>
  <c r="F75" i="1"/>
  <c r="G76" i="1"/>
  <c r="F74" i="1"/>
  <c r="G75" i="1"/>
  <c r="H76" i="1"/>
  <c r="G74" i="1"/>
  <c r="H75" i="1"/>
  <c r="I76" i="1"/>
  <c r="H74" i="1"/>
  <c r="J76" i="1"/>
  <c r="J75" i="1"/>
  <c r="K76" i="1"/>
  <c r="J74" i="1"/>
  <c r="K75" i="1"/>
  <c r="L76" i="1"/>
  <c r="AL76" i="1"/>
  <c r="K74" i="1"/>
  <c r="L75" i="1"/>
  <c r="AL75" i="1"/>
  <c r="M76" i="1"/>
  <c r="AL74" i="1"/>
  <c r="M75" i="1"/>
  <c r="AN76" i="1"/>
  <c r="M74" i="1"/>
  <c r="AN75" i="1"/>
  <c r="AN74" i="1"/>
  <c r="E76" i="1"/>
  <c r="I75" i="1"/>
  <c r="L74" i="1"/>
  <c r="D75" i="1"/>
  <c r="I74" i="1"/>
  <c r="AM76" i="1"/>
  <c r="AM75" i="1"/>
  <c r="AM74" i="1"/>
  <c r="D76" i="1"/>
  <c r="D77" i="1"/>
  <c r="K77" i="1"/>
  <c r="E77" i="1"/>
  <c r="M77" i="1"/>
  <c r="F77" i="1"/>
  <c r="H77" i="1"/>
  <c r="J77" i="1"/>
  <c r="AL77" i="1"/>
  <c r="AM77" i="1"/>
  <c r="AN77" i="1"/>
  <c r="G77" i="1"/>
  <c r="I77" i="1"/>
  <c r="L77" i="1"/>
  <c r="D78" i="1"/>
  <c r="E79" i="1"/>
  <c r="E78" i="1"/>
  <c r="F79" i="1"/>
  <c r="G79" i="1"/>
  <c r="G78" i="1"/>
  <c r="H79" i="1"/>
  <c r="H78" i="1"/>
  <c r="I79" i="1"/>
  <c r="J78" i="1"/>
  <c r="K79" i="1"/>
  <c r="K78" i="1"/>
  <c r="AL79" i="1"/>
  <c r="L78" i="1"/>
  <c r="M79" i="1"/>
  <c r="M78" i="1"/>
  <c r="AM78" i="1"/>
  <c r="AN78" i="1"/>
  <c r="D79" i="1"/>
  <c r="J79" i="1"/>
  <c r="F78" i="1"/>
  <c r="I78" i="1"/>
  <c r="L79" i="1"/>
  <c r="AL78" i="1"/>
  <c r="AM79" i="1"/>
  <c r="AN79" i="1"/>
  <c r="V79" i="1" l="1"/>
  <c r="U79" i="1"/>
  <c r="T78" i="1"/>
  <c r="S79" i="1"/>
  <c r="X79" i="1"/>
  <c r="N79" i="1"/>
  <c r="P79" i="1"/>
  <c r="V78" i="1"/>
  <c r="U78" i="1"/>
  <c r="T79" i="1"/>
  <c r="O78" i="1"/>
  <c r="O79" i="1"/>
  <c r="P78" i="1"/>
  <c r="N78" i="1"/>
  <c r="S78" i="1"/>
  <c r="X78" i="1"/>
  <c r="V77" i="1"/>
  <c r="U77" i="1"/>
  <c r="T77" i="1"/>
  <c r="P77" i="1"/>
  <c r="X77" i="1"/>
  <c r="S77" i="1"/>
  <c r="N77" i="1"/>
  <c r="O77" i="1"/>
  <c r="U74" i="1"/>
  <c r="U75" i="1"/>
  <c r="U76" i="1"/>
  <c r="V74" i="1"/>
  <c r="V75" i="1"/>
  <c r="V76" i="1"/>
  <c r="T74" i="1"/>
  <c r="T75" i="1"/>
  <c r="O74" i="1"/>
  <c r="T76" i="1"/>
  <c r="O75" i="1"/>
  <c r="P74" i="1"/>
  <c r="S74" i="1"/>
  <c r="X74" i="1"/>
  <c r="N74" i="1"/>
  <c r="O76" i="1"/>
  <c r="S75" i="1"/>
  <c r="X75" i="1"/>
  <c r="N75" i="1"/>
  <c r="P75" i="1"/>
  <c r="S76" i="1"/>
  <c r="X76" i="1"/>
  <c r="N76" i="1"/>
  <c r="P76" i="1"/>
  <c r="U71" i="1"/>
  <c r="V73" i="1"/>
  <c r="T71" i="1"/>
  <c r="U73" i="1"/>
  <c r="T72" i="1"/>
  <c r="O71" i="1"/>
  <c r="P71" i="1"/>
  <c r="S71" i="1"/>
  <c r="X71" i="1"/>
  <c r="N71" i="1"/>
  <c r="V71" i="1"/>
  <c r="V72" i="1"/>
  <c r="U72" i="1"/>
  <c r="T73" i="1"/>
  <c r="O72" i="1"/>
  <c r="O73" i="1"/>
  <c r="X72" i="1"/>
  <c r="S72" i="1"/>
  <c r="N72" i="1"/>
  <c r="P72" i="1"/>
  <c r="S73" i="1"/>
  <c r="X73" i="1"/>
  <c r="N73" i="1"/>
  <c r="P73" i="1"/>
  <c r="V70" i="1"/>
  <c r="U70" i="1"/>
  <c r="T70" i="1"/>
  <c r="P67" i="1"/>
  <c r="X67" i="1"/>
  <c r="N67" i="1"/>
  <c r="S67" i="1"/>
  <c r="O68" i="1"/>
  <c r="P68" i="1"/>
  <c r="S68" i="1"/>
  <c r="X68" i="1"/>
  <c r="N68" i="1"/>
  <c r="O69" i="1"/>
  <c r="P69" i="1"/>
  <c r="S69" i="1"/>
  <c r="X69" i="1"/>
  <c r="N69" i="1"/>
  <c r="O70" i="1"/>
  <c r="O67" i="1"/>
  <c r="P70" i="1"/>
  <c r="X70" i="1"/>
  <c r="N70" i="1"/>
  <c r="S70" i="1"/>
  <c r="D66" i="1"/>
  <c r="E66" i="1"/>
  <c r="F66" i="1"/>
  <c r="G66" i="1"/>
  <c r="H66" i="1"/>
  <c r="I66" i="1"/>
  <c r="J66" i="1"/>
  <c r="K66" i="1"/>
  <c r="L66" i="1"/>
  <c r="AL66" i="1"/>
  <c r="M66" i="1"/>
  <c r="AN66" i="1"/>
  <c r="AM66" i="1"/>
  <c r="AL67" i="1"/>
  <c r="AM67" i="1"/>
  <c r="AN67" i="1"/>
  <c r="Q79" i="1" l="1"/>
  <c r="R79" i="1"/>
  <c r="Q78" i="1"/>
  <c r="R78" i="1"/>
  <c r="Q77" i="1"/>
  <c r="R77" i="1"/>
  <c r="R76" i="1"/>
  <c r="Q76" i="1"/>
  <c r="Q75" i="1"/>
  <c r="R75" i="1"/>
  <c r="Q74" i="1"/>
  <c r="R74" i="1"/>
  <c r="R73" i="1"/>
  <c r="Q73" i="1"/>
  <c r="Q72" i="1"/>
  <c r="R72" i="1"/>
  <c r="R71" i="1"/>
  <c r="Q71" i="1"/>
  <c r="Q69" i="1"/>
  <c r="R69" i="1"/>
  <c r="Q68" i="1"/>
  <c r="R68" i="1"/>
  <c r="R70" i="1"/>
  <c r="Q70" i="1"/>
  <c r="Q67" i="1"/>
  <c r="R67" i="1"/>
  <c r="O66" i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6" i="1" l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<sst xmlns="http://schemas.openxmlformats.org/spreadsheetml/2006/main" count="129" uniqueCount="54">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</sst>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F86" sqref="F8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6">
        <f>_xll.PIArcVal(Sheet1!$A$1,Sheet1!C67,0,"","auto")</f>
        <v>201.21138000488281</v>
      </c>
      <c r="E67" s="6">
        <f>_xll.PIArcVal(Sheet1!$A$2,Sheet1!C67,0,"","auto")</f>
        <v>562.21746826171875</v>
      </c>
      <c r="F67" s="7">
        <f>_xll.PIArcVal(Sheet1!$A$3,Sheet1!C67,0,"","auto")</f>
        <v>437306.59375</v>
      </c>
      <c r="G67" s="7">
        <f>_xll.PIArcVal(Sheet1!$A$4,Sheet1!C67,0,"","auto")</f>
        <v>235282.8125</v>
      </c>
      <c r="H67" s="6">
        <f>_xll.PIArcVal(Sheet1!$A$5,Sheet1!C67,0,"","auto")</f>
        <v>44.749916076660156</v>
      </c>
      <c r="I67" s="6">
        <f>_xll.PIArcVal(Sheet1!$A$6,Sheet1!C67,0,"","auto")</f>
        <v>51.459812164306641</v>
      </c>
      <c r="J67" s="6">
        <f>_xll.PIArcVal(Sheet1!$A$7,Sheet1!C67,0,"","auto")</f>
        <v>50977.296875</v>
      </c>
      <c r="K67" s="6">
        <f>_xll.PIArcVal(Sheet1!$A$8,Sheet1!C67,0,"","auto")</f>
        <v>163796.03125</v>
      </c>
      <c r="L67" s="6">
        <f>_xll.PIArcVal(Sheet1!$A$9,Sheet1!C67,0,"","auto")</f>
        <v>1513.0635986328125</v>
      </c>
      <c r="M67" s="6">
        <f>_xll.PIArcVal(Sheet1!$A$10,Sheet1!C67,0,"","auto")</f>
        <v>2154.214111328125</v>
      </c>
      <c r="N67" s="8">
        <f t="shared" ref="N67:N70" si="63">(J67+F67-F66)/(D67*H67/100)/1000</f>
        <v>0.6133575157260186</v>
      </c>
      <c r="O67" s="8">
        <f t="shared" ref="O67:O70" si="64">(K67+G67-G66)/(E67*I67/100)/1000</f>
        <v>0.61336328155604913</v>
      </c>
      <c r="P67" s="8">
        <f t="shared" ref="P67:P70" si="65">((J67+K67)+F67+G67-F66-G66)/(D67*H67/100+E67*I67/100)/1000</f>
        <v>0.61336191301641296</v>
      </c>
      <c r="Q67" s="8">
        <f t="shared" ref="Q67:Q70" si="66">P67*H67*10</f>
        <v>274.47894132104204</v>
      </c>
      <c r="R67" s="8">
        <f t="shared" ref="R67:R70" si="67">P67*I67*10</f>
        <v>315.634888325644</v>
      </c>
      <c r="S67" s="4">
        <f t="shared" ref="S67:S70" si="68">((J67+K67)+F67+G67-F66-G66)/(D67+E67)</f>
        <v>304.78771519221283</v>
      </c>
      <c r="T67" s="5">
        <f t="shared" ref="T67:T70" si="69">IF(AL67&lt;3000,0,AL67)</f>
        <v>0</v>
      </c>
      <c r="U67" s="5">
        <f t="shared" ref="U67:U70" si="70">IF(AM67&lt;3000,0,AM67)</f>
        <v>214874.09375</v>
      </c>
      <c r="V67" s="5">
        <f t="shared" ref="V67:V70" si="71">IF(AN67&lt;3000,0,AN67)</f>
        <v>0</v>
      </c>
      <c r="W67" s="5" t="s">
        <v>53</v>
      </c>
      <c r="X67" s="7">
        <f t="shared" ref="X67:X70" si="72">J67+K67</f>
        <v>214773.328125</v>
      </c>
      <c r="Y67" s="4">
        <v>0.61699999999999999</v>
      </c>
      <c r="Z67" s="9">
        <v>0.624</v>
      </c>
      <c r="AA67" s="9">
        <v>0.62</v>
      </c>
      <c r="AB67" s="9">
        <v>264.32</v>
      </c>
      <c r="AC67" s="9">
        <v>323.33999999999997</v>
      </c>
      <c r="AD67" s="4">
        <v>44.27</v>
      </c>
      <c r="AE67" s="4">
        <v>52.51</v>
      </c>
      <c r="AF67" s="9">
        <v>1072</v>
      </c>
      <c r="AG67" s="9">
        <v>830</v>
      </c>
      <c r="AH67" s="4">
        <v>252143</v>
      </c>
      <c r="AI67" s="9">
        <v>0</v>
      </c>
      <c r="AJ67" s="9">
        <v>0</v>
      </c>
      <c r="AK67" s="4">
        <v>210000</v>
      </c>
      <c r="AL67" s="5">
        <f>_xll.PIArcVal(Sheet1!$A$11,Sheet1!C67,0,"","auto")</f>
        <v>-106.99946594238281</v>
      </c>
      <c r="AM67" s="5">
        <f>_xll.PIArcVal(Sheet1!$A$12,Sheet1!C67,0,"","auto")</f>
        <v>214874.09375</v>
      </c>
      <c r="AN67" s="5">
        <f>_xll.PIArcVal(Sheet1!$A$13,Sheet1!C67,0,"","auto")</f>
        <v>6.0416664928197861E-3</v>
      </c>
    </row>
    <row r="68" spans="2:40">
      <c r="B68" s="20">
        <v>46088</v>
      </c>
      <c r="C68" s="13">
        <v>46089</v>
      </c>
      <c r="D68" s="6">
        <f>_xll.PIArcVal(Sheet1!$A$1,Sheet1!C68,0,"","auto")</f>
        <v>160.03988647460938</v>
      </c>
      <c r="E68" s="6">
        <f>_xll.PIArcVal(Sheet1!$A$2,Sheet1!C68,0,"","auto")</f>
        <v>616.08831787109375</v>
      </c>
      <c r="F68" s="7">
        <f>_xll.PIArcVal(Sheet1!$A$3,Sheet1!C68,0,"","auto")</f>
        <v>442472.15625</v>
      </c>
      <c r="G68" s="7">
        <f>_xll.PIArcVal(Sheet1!$A$4,Sheet1!C68,0,"","auto")</f>
        <v>258081.984375</v>
      </c>
      <c r="H68" s="6">
        <f>_xll.PIArcVal(Sheet1!$A$5,Sheet1!C68,0,"","auto")</f>
        <v>44.630237579345703</v>
      </c>
      <c r="I68" s="6">
        <f>_xll.PIArcVal(Sheet1!$A$6,Sheet1!C68,0,"","auto")</f>
        <v>51.190254211425781</v>
      </c>
      <c r="J68" s="6">
        <f>_xll.PIArcVal(Sheet1!$A$7,Sheet1!C68,0,"","auto")</f>
        <v>41330.3984375</v>
      </c>
      <c r="K68" s="6">
        <f>_xll.PIArcVal(Sheet1!$A$8,Sheet1!C68,0,"","auto")</f>
        <v>182499.484375</v>
      </c>
      <c r="L68" s="6">
        <f>_xll.PIArcVal(Sheet1!$A$9,Sheet1!C68,0,"","auto")</f>
        <v>1172.776123046875</v>
      </c>
      <c r="M68" s="6">
        <f>_xll.PIArcVal(Sheet1!$A$10,Sheet1!C68,0,"","auto")</f>
        <v>2620.521728515625</v>
      </c>
      <c r="N68" s="8">
        <f t="shared" si="63"/>
        <v>0.65096523326645894</v>
      </c>
      <c r="O68" s="8">
        <f t="shared" si="64"/>
        <v>0.65096231375537694</v>
      </c>
      <c r="P68" s="8">
        <f t="shared" si="65"/>
        <v>0.65096285286530053</v>
      </c>
      <c r="Q68" s="8">
        <f t="shared" si="66"/>
        <v>290.5262677870702</v>
      </c>
      <c r="R68" s="8">
        <f t="shared" si="67"/>
        <v>333.2295392036969</v>
      </c>
      <c r="S68" s="4">
        <f t="shared" si="68"/>
        <v>324.42400079993178</v>
      </c>
      <c r="T68" s="5">
        <f t="shared" si="69"/>
        <v>0</v>
      </c>
      <c r="U68" s="5">
        <f t="shared" si="70"/>
        <v>223406.296875</v>
      </c>
      <c r="V68" s="5">
        <f t="shared" si="71"/>
        <v>0</v>
      </c>
      <c r="W68" s="5" t="s">
        <v>53</v>
      </c>
      <c r="X68" s="7">
        <f t="shared" si="72"/>
        <v>223829.8828125</v>
      </c>
      <c r="Y68" s="4">
        <v>0.61699999999999999</v>
      </c>
      <c r="Z68" s="9">
        <v>0.624</v>
      </c>
      <c r="AA68" s="9">
        <v>0.62</v>
      </c>
      <c r="AB68" s="9">
        <v>264.32</v>
      </c>
      <c r="AC68" s="9">
        <v>323.33999999999997</v>
      </c>
      <c r="AD68" s="4">
        <v>44.27</v>
      </c>
      <c r="AE68" s="4">
        <v>52.51</v>
      </c>
      <c r="AF68" s="9">
        <v>1072</v>
      </c>
      <c r="AG68" s="9">
        <v>830</v>
      </c>
      <c r="AH68" s="4">
        <v>252143</v>
      </c>
      <c r="AI68" s="9">
        <v>0</v>
      </c>
      <c r="AJ68" s="9">
        <v>0</v>
      </c>
      <c r="AK68" s="4">
        <v>210000</v>
      </c>
      <c r="AL68" s="5">
        <f>_xll.PIArcVal(Sheet1!$A$11,Sheet1!C68,0,"","auto")</f>
        <v>-59.948276519775391</v>
      </c>
      <c r="AM68" s="5">
        <f>_xll.PIArcVal(Sheet1!$A$12,Sheet1!C68,0,"","auto")</f>
        <v>223406.296875</v>
      </c>
      <c r="AN68" s="5">
        <f>_xll.PIArcVal(Sheet1!$A$13,Sheet1!C68,0,"","auto")</f>
        <v>521.9931640625</v>
      </c>
    </row>
    <row r="69" spans="2:40">
      <c r="B69" s="20">
        <v>46089</v>
      </c>
      <c r="C69" s="13">
        <v>46090</v>
      </c>
      <c r="D69" s="6">
        <f>_xll.PIArcVal(Sheet1!$A$1,Sheet1!C69,0,"","auto")</f>
        <v>203.01661682128906</v>
      </c>
      <c r="E69" s="6">
        <f>_xll.PIArcVal(Sheet1!$A$2,Sheet1!C69,0,"","auto")</f>
        <v>555.98388671875</v>
      </c>
      <c r="F69" s="7">
        <f>_xll.PIArcVal(Sheet1!$A$3,Sheet1!C69,0,"","auto")</f>
        <v>458506.3125</v>
      </c>
      <c r="G69" s="7">
        <f>_xll.PIArcVal(Sheet1!$A$4,Sheet1!C69,0,"","auto")</f>
        <v>308427.0625</v>
      </c>
      <c r="H69" s="6">
        <f>_xll.PIArcVal(Sheet1!$A$5,Sheet1!C69,0,"","auto")</f>
        <v>44.969474792480469</v>
      </c>
      <c r="I69" s="6">
        <f>_xll.PIArcVal(Sheet1!$A$6,Sheet1!C69,0,"","auto")</f>
        <v>51.560153961181641</v>
      </c>
      <c r="J69" s="6">
        <f>_xll.PIArcVal(Sheet1!$A$7,Sheet1!C69,0,"","auto")</f>
        <v>40465.6015625</v>
      </c>
      <c r="K69" s="6">
        <f>_xll.PIArcVal(Sheet1!$A$8,Sheet1!C69,0,"","auto")</f>
        <v>127062.1953125</v>
      </c>
      <c r="L69" s="6">
        <f>_xll.PIArcVal(Sheet1!$A$9,Sheet1!C69,0,"","auto")</f>
        <v>1138.440673828125</v>
      </c>
      <c r="M69" s="6">
        <f>_xll.PIArcVal(Sheet1!$A$10,Sheet1!C69,0,"","auto")</f>
        <v>2076.8642578125</v>
      </c>
      <c r="N69" s="8">
        <f t="shared" si="63"/>
        <v>0.61886679954160884</v>
      </c>
      <c r="O69" s="8">
        <f t="shared" si="64"/>
        <v>0.61886370148849901</v>
      </c>
      <c r="P69" s="8">
        <f t="shared" si="65"/>
        <v>0.61886444981395494</v>
      </c>
      <c r="Q69" s="8">
        <f t="shared" si="66"/>
        <v>278.30009275870941</v>
      </c>
      <c r="R69" s="8">
        <f t="shared" si="67"/>
        <v>319.08746313509488</v>
      </c>
      <c r="S69" s="4">
        <f t="shared" si="68"/>
        <v>308.17770233226315</v>
      </c>
      <c r="T69" s="5">
        <f t="shared" si="69"/>
        <v>90808</v>
      </c>
      <c r="U69" s="5">
        <f t="shared" si="70"/>
        <v>76791</v>
      </c>
      <c r="V69" s="5">
        <f t="shared" si="71"/>
        <v>0</v>
      </c>
      <c r="W69" s="5" t="s">
        <v>53</v>
      </c>
      <c r="X69" s="7">
        <f t="shared" si="72"/>
        <v>167527.796875</v>
      </c>
      <c r="Y69" s="4">
        <v>0.61699999999999999</v>
      </c>
      <c r="Z69" s="9">
        <v>0.624</v>
      </c>
      <c r="AA69" s="9">
        <v>0.62</v>
      </c>
      <c r="AB69" s="9">
        <v>264.32</v>
      </c>
      <c r="AC69" s="9">
        <v>323.33999999999997</v>
      </c>
      <c r="AD69" s="4">
        <v>44.27</v>
      </c>
      <c r="AE69" s="4">
        <v>52.51</v>
      </c>
      <c r="AF69" s="9">
        <v>1072</v>
      </c>
      <c r="AG69" s="9">
        <v>830</v>
      </c>
      <c r="AH69" s="4">
        <v>252143</v>
      </c>
      <c r="AI69" s="9">
        <v>0</v>
      </c>
      <c r="AJ69" s="9">
        <v>0</v>
      </c>
      <c r="AK69" s="4">
        <v>210000</v>
      </c>
      <c r="AL69" s="5">
        <f>_xll.PIArcVal(Sheet1!$A$11,Sheet1!C69,0,"","auto")</f>
        <v>90808</v>
      </c>
      <c r="AM69" s="5">
        <f>_xll.PIArcVal(Sheet1!$A$12,Sheet1!C69,0,"","auto")</f>
        <v>76791</v>
      </c>
      <c r="AN69" s="5">
        <f>_xll.PIArcVal(Sheet1!$A$13,Sheet1!C69,0,"","auto")</f>
        <v>-67</v>
      </c>
    </row>
    <row r="70" spans="2:40">
      <c r="B70" s="20">
        <v>46090</v>
      </c>
      <c r="C70" s="13">
        <v>46091</v>
      </c>
      <c r="D70" s="6">
        <f>_xll.PIArcVal(Sheet1!$A$1,Sheet1!C70,0,"","auto")</f>
        <v>154.97999572753906</v>
      </c>
      <c r="E70" s="6">
        <f>_xll.PIArcVal(Sheet1!$A$2,Sheet1!C70,0,"","auto")</f>
        <v>403.27999877929688</v>
      </c>
      <c r="F70" s="7">
        <f>_xll.PIArcVal(Sheet1!$A$3,Sheet1!C70,0,"","auto")</f>
        <v>461840</v>
      </c>
      <c r="G70" s="7">
        <f>_xll.PIArcVal(Sheet1!$A$4,Sheet1!C70,0,"","auto")</f>
        <v>318587</v>
      </c>
      <c r="H70" s="6">
        <f>_xll.PIArcVal(Sheet1!$A$5,Sheet1!C70,0,"","auto")</f>
        <v>44.209999084472656</v>
      </c>
      <c r="I70" s="6">
        <f>_xll.PIArcVal(Sheet1!$A$6,Sheet1!C70,0,"","auto")</f>
        <v>51.779998779296875</v>
      </c>
      <c r="J70" s="6">
        <f>_xll.PIArcVal(Sheet1!$A$7,Sheet1!C70,0,"","auto")</f>
        <v>39894</v>
      </c>
      <c r="K70" s="6">
        <f>_xll.PIArcVal(Sheet1!$A$8,Sheet1!C70,0,"","auto")</f>
        <v>121584</v>
      </c>
      <c r="L70" s="6">
        <f>_xll.PIArcVal(Sheet1!$A$9,Sheet1!C70,0,"","auto")</f>
        <v>1340.800048828125</v>
      </c>
      <c r="M70" s="6">
        <f>_xll.PIArcVal(Sheet1!$A$10,Sheet1!C70,0,"","auto")</f>
        <v>2687.570068359375</v>
      </c>
      <c r="N70" s="8">
        <f t="shared" si="63"/>
        <v>0.63090773614320561</v>
      </c>
      <c r="O70" s="8">
        <f t="shared" si="64"/>
        <v>0.63090202347613999</v>
      </c>
      <c r="P70" s="8">
        <f t="shared" si="65"/>
        <v>0.63090343481185285</v>
      </c>
      <c r="Q70" s="8">
        <f t="shared" si="66"/>
        <v>278.92240275422671</v>
      </c>
      <c r="R70" s="8">
        <f t="shared" si="67"/>
        <v>326.68179084411946</v>
      </c>
      <c r="S70" s="4">
        <f t="shared" si="68"/>
        <v>313.42318403913043</v>
      </c>
      <c r="T70" s="5">
        <f t="shared" si="69"/>
        <v>82860</v>
      </c>
      <c r="U70" s="5">
        <f t="shared" si="70"/>
        <v>78697</v>
      </c>
      <c r="V70" s="5">
        <f t="shared" si="71"/>
        <v>0</v>
      </c>
      <c r="W70" s="5" t="s">
        <v>53</v>
      </c>
      <c r="X70" s="7">
        <f t="shared" si="72"/>
        <v>161478</v>
      </c>
      <c r="Y70" s="4">
        <v>0.61699999999999999</v>
      </c>
      <c r="Z70" s="9">
        <v>0.624</v>
      </c>
      <c r="AA70" s="9">
        <v>0.62</v>
      </c>
      <c r="AB70" s="9">
        <v>264.32</v>
      </c>
      <c r="AC70" s="9">
        <v>323.33999999999997</v>
      </c>
      <c r="AD70" s="4">
        <v>44.27</v>
      </c>
      <c r="AE70" s="4">
        <v>52.51</v>
      </c>
      <c r="AF70" s="9">
        <v>1072</v>
      </c>
      <c r="AG70" s="9">
        <v>830</v>
      </c>
      <c r="AH70" s="4">
        <v>252143</v>
      </c>
      <c r="AI70" s="9">
        <v>0</v>
      </c>
      <c r="AJ70" s="9">
        <v>0</v>
      </c>
      <c r="AK70" s="4">
        <v>210000</v>
      </c>
      <c r="AL70" s="5">
        <f>_xll.PIArcVal(Sheet1!$A$11,Sheet1!C70,0,"","auto")</f>
        <v>82860</v>
      </c>
      <c r="AM70" s="5">
        <f>_xll.PIArcVal(Sheet1!$A$12,Sheet1!C70,0,"","auto")</f>
        <v>78697</v>
      </c>
      <c r="AN70" s="5">
        <f>_xll.PIArcVal(Sheet1!$A$13,Sheet1!C70,0,"","auto")</f>
        <v>-79</v>
      </c>
    </row>
    <row r="71" spans="2:40">
      <c r="B71" s="20">
        <v>46091</v>
      </c>
      <c r="C71" s="13">
        <v>46092</v>
      </c>
      <c r="D71" s="6">
        <f>_xll.PIArcVal(Sheet1!$A$1,Sheet1!C71,0,"","auto")</f>
        <v>210.03469848632813</v>
      </c>
      <c r="E71" s="6">
        <f>_xll.PIArcVal(Sheet1!$A$2,Sheet1!C71,0,"","auto")</f>
        <v>565.40948486328125</v>
      </c>
      <c r="F71" s="7">
        <f>_xll.PIArcVal(Sheet1!$A$3,Sheet1!C71,0,"","auto")</f>
        <v>466073.34375</v>
      </c>
      <c r="G71" s="7">
        <f>_xll.PIArcVal(Sheet1!$A$4,Sheet1!C71,0,"","auto")</f>
        <v>331707.34375</v>
      </c>
      <c r="H71" s="6">
        <f>_xll.PIArcVal(Sheet1!$A$5,Sheet1!C71,0,"","auto")</f>
        <v>44.519798278808594</v>
      </c>
      <c r="I71" s="6">
        <f>_xll.PIArcVal(Sheet1!$A$6,Sheet1!C71,0,"","auto")</f>
        <v>51.249958038330078</v>
      </c>
      <c r="J71" s="6">
        <f>_xll.PIArcVal(Sheet1!$A$7,Sheet1!C71,0,"","auto")</f>
        <v>54076.6015625</v>
      </c>
      <c r="K71" s="6">
        <f>_xll.PIArcVal(Sheet1!$A$8,Sheet1!C71,0,"","auto")</f>
        <v>167579.375</v>
      </c>
      <c r="L71" s="6">
        <f>_xll.PIArcVal(Sheet1!$A$9,Sheet1!C71,0,"","auto")</f>
        <v>1561.0513916015625</v>
      </c>
      <c r="M71" s="6">
        <f>_xll.PIArcVal(Sheet1!$A$10,Sheet1!C71,0,"","auto")</f>
        <v>2418.006591796875</v>
      </c>
      <c r="N71" s="8">
        <f t="shared" ref="N71:N73" si="73">(J71+F71-F70)/(D71*H71/100)/1000</f>
        <v>0.62358893233094947</v>
      </c>
      <c r="O71" s="8">
        <f t="shared" ref="O71:O73" si="74">(K71+G71-G70)/(E71*I71/100)/1000</f>
        <v>0.62359248508631171</v>
      </c>
      <c r="P71" s="8">
        <f t="shared" ref="P71:P73" si="75">((J71+K71)+F71+G71-F70-G70)/(D71*H71/100+E71*I71/100)/1000</f>
        <v>0.62359161833532062</v>
      </c>
      <c r="Q71" s="8">
        <f t="shared" ref="Q71:Q73" si="76">P71*H71*10</f>
        <v>277.62173056644269</v>
      </c>
      <c r="R71" s="8">
        <f t="shared" ref="R71:R73" si="77">P71*I71*10</f>
        <v>319.59044272739527</v>
      </c>
      <c r="S71" s="4">
        <f t="shared" ref="S71:S73" si="78">((J71+K71)+F71+G71-F70-G70)/(D71+E71)</f>
        <v>308.22291171245058</v>
      </c>
      <c r="T71" s="5">
        <f t="shared" ref="T71:T73" si="79">IF(AL71&lt;3000,0,AL71)</f>
        <v>0</v>
      </c>
      <c r="U71" s="5">
        <f t="shared" ref="U71:U73" si="80">IF(AM71&lt;3000,0,AM71)</f>
        <v>222550.96875</v>
      </c>
      <c r="V71" s="5">
        <f t="shared" ref="V71:V73" si="81">IF(AN71&lt;3000,0,AN71)</f>
        <v>0</v>
      </c>
      <c r="W71" s="5" t="s">
        <v>53</v>
      </c>
      <c r="X71" s="7">
        <f t="shared" ref="X71:X73" si="82">J71+K71</f>
        <v>221655.9765625</v>
      </c>
      <c r="Y71" s="4">
        <v>0.61699999999999999</v>
      </c>
      <c r="Z71" s="9">
        <v>0.624</v>
      </c>
      <c r="AA71" s="9">
        <v>0.62</v>
      </c>
      <c r="AB71" s="9">
        <v>264.32</v>
      </c>
      <c r="AC71" s="9">
        <v>323.33999999999997</v>
      </c>
      <c r="AD71" s="4">
        <v>44.27</v>
      </c>
      <c r="AE71" s="4">
        <v>52.51</v>
      </c>
      <c r="AF71" s="9">
        <v>1072</v>
      </c>
      <c r="AG71" s="9">
        <v>830</v>
      </c>
      <c r="AH71" s="4">
        <v>252143</v>
      </c>
      <c r="AI71" s="9">
        <v>0</v>
      </c>
      <c r="AJ71" s="9">
        <v>0</v>
      </c>
      <c r="AK71" s="4">
        <v>210000</v>
      </c>
      <c r="AL71" s="5">
        <f>_xll.PIArcVal(Sheet1!$A$11,Sheet1!C71,0,"","auto")</f>
        <v>-683.9881591796875</v>
      </c>
      <c r="AM71" s="5">
        <f>_xll.PIArcVal(Sheet1!$A$12,Sheet1!C71,0,"","auto")</f>
        <v>222550.96875</v>
      </c>
      <c r="AN71" s="5">
        <f>_xll.PIArcVal(Sheet1!$A$13,Sheet1!C71,0,"","auto")</f>
        <v>-209.99737548828125</v>
      </c>
    </row>
    <row r="72" spans="2:40">
      <c r="B72" s="20">
        <v>46092</v>
      </c>
      <c r="C72" s="13">
        <v>46093</v>
      </c>
      <c r="D72" s="6">
        <f>_xll.PIArcVal(Sheet1!$A$1,Sheet1!C72,0,"","auto")</f>
        <v>202.41732788085938</v>
      </c>
      <c r="E72" s="6">
        <f>_xll.PIArcVal(Sheet1!$A$2,Sheet1!C72,0,"","auto")</f>
        <v>564.73193359375</v>
      </c>
      <c r="F72" s="7">
        <f>_xll.PIArcVal(Sheet1!$A$3,Sheet1!C72,0,"","auto")</f>
        <v>468013.46875</v>
      </c>
      <c r="G72" s="7">
        <f>_xll.PIArcVal(Sheet1!$A$4,Sheet1!C72,0,"","auto")</f>
        <v>337969.90625</v>
      </c>
      <c r="H72" s="6">
        <f>_xll.PIArcVal(Sheet1!$A$5,Sheet1!C72,0,"","auto")</f>
        <v>44.230270385742188</v>
      </c>
      <c r="I72" s="6">
        <f>_xll.PIArcVal(Sheet1!$A$6,Sheet1!C72,0,"","auto")</f>
        <v>51.190135955810547</v>
      </c>
      <c r="J72" s="6">
        <f>_xll.PIArcVal(Sheet1!$A$7,Sheet1!C72,0,"","auto")</f>
        <v>52060.75390625</v>
      </c>
      <c r="K72" s="6">
        <f>_xll.PIArcVal(Sheet1!$A$8,Sheet1!C72,0,"","auto")</f>
        <v>168101.390625</v>
      </c>
      <c r="L72" s="6">
        <f>_xll.PIArcVal(Sheet1!$A$9,Sheet1!C72,0,"","auto")</f>
        <v>1634.8289794921875</v>
      </c>
      <c r="M72" s="6">
        <f>_xll.PIArcVal(Sheet1!$A$10,Sheet1!C72,0,"","auto")</f>
        <v>2111.0537109375</v>
      </c>
      <c r="N72" s="8">
        <f t="shared" si="73"/>
        <v>0.60316140844111066</v>
      </c>
      <c r="O72" s="8">
        <f t="shared" si="74"/>
        <v>0.60315381261991219</v>
      </c>
      <c r="P72" s="8">
        <f t="shared" si="75"/>
        <v>0.60315560876808871</v>
      </c>
      <c r="Q72" s="8">
        <f t="shared" si="76"/>
        <v>266.77735660489498</v>
      </c>
      <c r="R72" s="8">
        <f t="shared" si="77"/>
        <v>308.75617615348136</v>
      </c>
      <c r="S72" s="4">
        <f t="shared" si="78"/>
        <v>297.6797912733287</v>
      </c>
      <c r="T72" s="5">
        <f t="shared" si="79"/>
        <v>0</v>
      </c>
      <c r="U72" s="5">
        <f t="shared" si="80"/>
        <v>219818</v>
      </c>
      <c r="V72" s="5">
        <f t="shared" si="81"/>
        <v>0</v>
      </c>
      <c r="W72" s="5" t="s">
        <v>53</v>
      </c>
      <c r="X72" s="7">
        <f t="shared" si="82"/>
        <v>220162.14453125</v>
      </c>
      <c r="Y72" s="4">
        <v>0.61699999999999999</v>
      </c>
      <c r="Z72" s="9">
        <v>0.624</v>
      </c>
      <c r="AA72" s="9">
        <v>0.62</v>
      </c>
      <c r="AB72" s="9">
        <v>264.32</v>
      </c>
      <c r="AC72" s="9">
        <v>323.33999999999997</v>
      </c>
      <c r="AD72" s="4">
        <v>44.27</v>
      </c>
      <c r="AE72" s="4">
        <v>52.51</v>
      </c>
      <c r="AF72" s="9">
        <v>1072</v>
      </c>
      <c r="AG72" s="9">
        <v>830</v>
      </c>
      <c r="AH72" s="4">
        <v>252143</v>
      </c>
      <c r="AI72" s="9">
        <v>0</v>
      </c>
      <c r="AJ72" s="9">
        <v>0</v>
      </c>
      <c r="AK72" s="4">
        <v>210000</v>
      </c>
      <c r="AL72" s="5">
        <f>_xll.PIArcVal(Sheet1!$A$11,Sheet1!C72,0,"","auto")</f>
        <v>338</v>
      </c>
      <c r="AM72" s="5">
        <f>_xll.PIArcVal(Sheet1!$A$12,Sheet1!C72,0,"","auto")</f>
        <v>219818</v>
      </c>
      <c r="AN72" s="5">
        <f>_xll.PIArcVal(Sheet1!$A$13,Sheet1!C72,0,"","auto")</f>
        <v>17</v>
      </c>
    </row>
    <row r="73" spans="2:40">
      <c r="B73" s="20">
        <v>46093</v>
      </c>
      <c r="C73" s="13">
        <v>46094</v>
      </c>
      <c r="D73" s="6">
        <f>_xll.PIArcVal(Sheet1!$A$1,Sheet1!C73,0,"","auto")</f>
        <v>212.94999694824219</v>
      </c>
      <c r="E73" s="6">
        <f>_xll.PIArcVal(Sheet1!$A$2,Sheet1!C73,0,"","auto")</f>
        <v>567.52001953125</v>
      </c>
      <c r="F73" s="7">
        <f>_xll.PIArcVal(Sheet1!$A$3,Sheet1!C73,0,"","auto")</f>
        <v>478750</v>
      </c>
      <c r="G73" s="7">
        <f>_xll.PIArcVal(Sheet1!$A$4,Sheet1!C73,0,"","auto")</f>
        <v>370924</v>
      </c>
      <c r="H73" s="6">
        <f>_xll.PIArcVal(Sheet1!$A$5,Sheet1!C73,0,"","auto")</f>
        <v>44.619998931884766</v>
      </c>
      <c r="I73" s="6">
        <f>_xll.PIArcVal(Sheet1!$A$6,Sheet1!C73,0,"","auto")</f>
        <v>51.389999389648438</v>
      </c>
      <c r="J73" s="6">
        <f>_xll.PIArcVal(Sheet1!$A$7,Sheet1!C73,0,"","auto")</f>
        <v>50265</v>
      </c>
      <c r="K73" s="6">
        <f>_xll.PIArcVal(Sheet1!$A$8,Sheet1!C73,0,"","auto")</f>
        <v>154284</v>
      </c>
      <c r="L73" s="6">
        <f>_xll.PIArcVal(Sheet1!$A$9,Sheet1!C73,0,"","auto")</f>
        <v>1489.4599609375</v>
      </c>
      <c r="M73" s="6">
        <f>_xll.PIArcVal(Sheet1!$A$10,Sheet1!C73,0,"","auto")</f>
        <v>2260.419921875</v>
      </c>
      <c r="N73" s="8">
        <f t="shared" si="73"/>
        <v>0.641997804680149</v>
      </c>
      <c r="O73" s="8">
        <f t="shared" si="74"/>
        <v>0.64199908984277332</v>
      </c>
      <c r="P73" s="8">
        <f t="shared" si="75"/>
        <v>0.64199877403095895</v>
      </c>
      <c r="Q73" s="8">
        <f t="shared" si="76"/>
        <v>286.4598461153272</v>
      </c>
      <c r="R73" s="8">
        <f t="shared" si="77"/>
        <v>329.92316605606027</v>
      </c>
      <c r="S73" s="4">
        <f t="shared" si="78"/>
        <v>318.06426865665867</v>
      </c>
      <c r="T73" s="5">
        <f t="shared" si="79"/>
        <v>0</v>
      </c>
      <c r="U73" s="5">
        <f t="shared" si="80"/>
        <v>219818</v>
      </c>
      <c r="V73" s="5">
        <f t="shared" si="81"/>
        <v>0</v>
      </c>
      <c r="W73" s="5" t="s">
        <v>53</v>
      </c>
      <c r="X73" s="7">
        <f t="shared" si="82"/>
        <v>204549</v>
      </c>
      <c r="Y73" s="4">
        <v>0.61699999999999999</v>
      </c>
      <c r="Z73" s="9">
        <v>0.624</v>
      </c>
      <c r="AA73" s="9">
        <v>0.62</v>
      </c>
      <c r="AB73" s="9">
        <v>264.32</v>
      </c>
      <c r="AC73" s="9">
        <v>323.33999999999997</v>
      </c>
      <c r="AD73" s="4">
        <v>44.27</v>
      </c>
      <c r="AE73" s="4">
        <v>52.51</v>
      </c>
      <c r="AF73" s="9">
        <v>1072</v>
      </c>
      <c r="AG73" s="9">
        <v>830</v>
      </c>
      <c r="AH73" s="4">
        <v>252143</v>
      </c>
      <c r="AI73" s="9">
        <v>0</v>
      </c>
      <c r="AJ73" s="9">
        <v>0</v>
      </c>
      <c r="AK73" s="4">
        <v>210000</v>
      </c>
      <c r="AL73" s="5">
        <f>_xll.PIArcVal(Sheet1!$A$11,Sheet1!C73,0,"","auto")</f>
        <v>338</v>
      </c>
      <c r="AM73" s="5">
        <f>_xll.PIArcVal(Sheet1!$A$12,Sheet1!C73,0,"","auto")</f>
        <v>219818</v>
      </c>
      <c r="AN73" s="5">
        <f>_xll.PIArcVal(Sheet1!$A$13,Sheet1!C73,0,"","auto")</f>
        <v>17</v>
      </c>
    </row>
    <row r="74" spans="2:40">
      <c r="B74" s="20">
        <v>46094</v>
      </c>
      <c r="C74" s="13">
        <v>46095</v>
      </c>
      <c r="D74" s="6">
        <f>_xll.PIArcVal(Sheet1!$A$1,Sheet1!C74,0,"","auto")</f>
        <v>202.03756713867188</v>
      </c>
      <c r="E74" s="6">
        <f>_xll.PIArcVal(Sheet1!$A$2,Sheet1!C74,0,"","auto")</f>
        <v>564.66912841796875</v>
      </c>
      <c r="F74" s="7">
        <f>_xll.PIArcVal(Sheet1!$A$3,Sheet1!C74,0,"","auto")</f>
        <v>487536.9375</v>
      </c>
      <c r="G74" s="7">
        <f>_xll.PIArcVal(Sheet1!$A$4,Sheet1!C74,0,"","auto")</f>
        <v>399484.96875</v>
      </c>
      <c r="H74" s="6">
        <f>_xll.PIArcVal(Sheet1!$A$5,Sheet1!C74,0,"","auto")</f>
        <v>44.330093383789063</v>
      </c>
      <c r="I74" s="6">
        <f>_xll.PIArcVal(Sheet1!$A$6,Sheet1!C74,0,"","auto")</f>
        <v>51.549709320068359</v>
      </c>
      <c r="J74" s="6">
        <f>_xll.PIArcVal(Sheet1!$A$7,Sheet1!C74,0,"","auto")</f>
        <v>47768.91015625</v>
      </c>
      <c r="K74" s="6">
        <f>_xll.PIArcVal(Sheet1!$A$8,Sheet1!C74,0,"","auto")</f>
        <v>155249</v>
      </c>
      <c r="L74" s="6">
        <f>_xll.PIArcVal(Sheet1!$A$9,Sheet1!C74,0,"","auto")</f>
        <v>1327.40185546875</v>
      </c>
      <c r="M74" s="6">
        <f>_xll.PIArcVal(Sheet1!$A$10,Sheet1!C74,0,"","auto")</f>
        <v>2479.1328125</v>
      </c>
      <c r="N74" s="8">
        <f t="shared" ref="N74:N76" si="83">(J74+F74-F73)/(D74*H74/100)/1000</f>
        <v>0.63146130025630531</v>
      </c>
      <c r="O74" s="8">
        <f t="shared" ref="O74:O76" si="84">(K74+G74-G73)/(E74*I74/100)/1000</f>
        <v>0.63146429014777827</v>
      </c>
      <c r="P74" s="8">
        <f t="shared" ref="P74:P76" si="85">((J74+K74)+F74+G74-F73-G73)/(D74*H74/100+E74*I74/100)/1000</f>
        <v>0.63146358665149305</v>
      </c>
      <c r="Q74" s="8">
        <f t="shared" ref="Q74:Q76" si="86">P74*H74*10</f>
        <v>279.92839764723061</v>
      </c>
      <c r="R74" s="8">
        <f t="shared" ref="R74:R76" si="87">P74*I74*10</f>
        <v>325.51764338092261</v>
      </c>
      <c r="S74" s="4">
        <f t="shared" ref="S74:S76" si="88">((J74+K74)+F74+G74-F73-G73)/(D74+E74)</f>
        <v>313.50426153738073</v>
      </c>
      <c r="T74" s="5">
        <f t="shared" ref="T74:T76" si="89">IF(AL74&lt;3000,0,AL74)</f>
        <v>22706</v>
      </c>
      <c r="U74" s="5">
        <f t="shared" ref="U74:U76" si="90">IF(AM74&lt;3000,0,AM74)</f>
        <v>179892</v>
      </c>
      <c r="V74" s="5">
        <f t="shared" ref="V74:V76" si="91">IF(AN74&lt;3000,0,AN74)</f>
        <v>0</v>
      </c>
      <c r="W74" s="5" t="s">
        <v>53</v>
      </c>
      <c r="X74" s="7">
        <f t="shared" ref="X74:X76" si="92">J74+K74</f>
        <v>203017.91015625</v>
      </c>
      <c r="Y74" s="4">
        <v>0.61699999999999999</v>
      </c>
      <c r="Z74" s="9">
        <v>0.624</v>
      </c>
      <c r="AA74" s="9">
        <v>0.62</v>
      </c>
      <c r="AB74" s="9">
        <v>264.32</v>
      </c>
      <c r="AC74" s="9">
        <v>323.33999999999997</v>
      </c>
      <c r="AD74" s="4">
        <v>44.27</v>
      </c>
      <c r="AE74" s="4">
        <v>52.51</v>
      </c>
      <c r="AF74" s="9">
        <v>1072</v>
      </c>
      <c r="AG74" s="9">
        <v>830</v>
      </c>
      <c r="AH74" s="4">
        <v>252143</v>
      </c>
      <c r="AI74" s="9">
        <v>0</v>
      </c>
      <c r="AJ74" s="9">
        <v>0</v>
      </c>
      <c r="AK74" s="4">
        <v>210000</v>
      </c>
      <c r="AL74" s="5">
        <f>_xll.PIArcVal(Sheet1!$A$11,Sheet1!C74,0,"","auto")</f>
        <v>22706</v>
      </c>
      <c r="AM74" s="5">
        <f>_xll.PIArcVal(Sheet1!$A$12,Sheet1!C74,0,"","auto")</f>
        <v>179892</v>
      </c>
      <c r="AN74" s="5">
        <f>_xll.PIArcVal(Sheet1!$A$13,Sheet1!C74,0,"","auto")</f>
        <v>415</v>
      </c>
    </row>
    <row r="75" spans="2:40">
      <c r="B75" s="20">
        <v>46095</v>
      </c>
      <c r="C75" s="13">
        <v>46096</v>
      </c>
      <c r="D75" s="6">
        <f>_xll.PIArcVal(Sheet1!$A$1,Sheet1!C75,0,"","auto")</f>
        <v>212.88650512695313</v>
      </c>
      <c r="E75" s="6">
        <f>_xll.PIArcVal(Sheet1!$A$2,Sheet1!C75,0,"","auto")</f>
        <v>563.368408203125</v>
      </c>
      <c r="F75" s="7">
        <f>_xll.PIArcVal(Sheet1!$A$3,Sheet1!C75,0,"","auto")</f>
        <v>494620.21875</v>
      </c>
      <c r="G75" s="7">
        <f>_xll.PIArcVal(Sheet1!$A$4,Sheet1!C75,0,"","auto")</f>
        <v>421039.625</v>
      </c>
      <c r="H75" s="6">
        <f>_xll.PIArcVal(Sheet1!$A$5,Sheet1!C75,0,"","auto")</f>
        <v>44.460277557373047</v>
      </c>
      <c r="I75" s="6">
        <f>_xll.PIArcVal(Sheet1!$A$6,Sheet1!C75,0,"","auto")</f>
        <v>51.130256652832031</v>
      </c>
      <c r="J75" s="6">
        <f>_xll.PIArcVal(Sheet1!$A$7,Sheet1!C75,0,"","auto")</f>
        <v>51949.5546875</v>
      </c>
      <c r="K75" s="6">
        <f>_xll.PIArcVal(Sheet1!$A$8,Sheet1!C75,0,"","auto")</f>
        <v>158098.328125</v>
      </c>
      <c r="L75" s="6">
        <f>_xll.PIArcVal(Sheet1!$A$9,Sheet1!C75,0,"","auto")</f>
        <v>1617.776123046875</v>
      </c>
      <c r="M75" s="6">
        <f>_xll.PIArcVal(Sheet1!$A$10,Sheet1!C75,0,"","auto")</f>
        <v>2540.553955078125</v>
      </c>
      <c r="N75" s="8">
        <f t="shared" si="83"/>
        <v>0.62369655503561583</v>
      </c>
      <c r="O75" s="8">
        <f t="shared" si="84"/>
        <v>0.62368309667195043</v>
      </c>
      <c r="P75" s="8">
        <f t="shared" si="85"/>
        <v>0.62368642520009465</v>
      </c>
      <c r="Q75" s="8">
        <f t="shared" si="86"/>
        <v>277.29271573161992</v>
      </c>
      <c r="R75" s="8">
        <f t="shared" si="87"/>
        <v>318.89246991368168</v>
      </c>
      <c r="S75" s="4">
        <f t="shared" si="88"/>
        <v>307.48381261582603</v>
      </c>
      <c r="T75" s="5">
        <f t="shared" si="89"/>
        <v>22706</v>
      </c>
      <c r="U75" s="5">
        <f t="shared" si="90"/>
        <v>179892</v>
      </c>
      <c r="V75" s="5">
        <f t="shared" si="91"/>
        <v>0</v>
      </c>
      <c r="W75" s="5" t="s">
        <v>53</v>
      </c>
      <c r="X75" s="7">
        <f t="shared" si="92"/>
        <v>210047.8828125</v>
      </c>
      <c r="Y75" s="4">
        <v>0.61699999999999999</v>
      </c>
      <c r="Z75" s="9">
        <v>0.624</v>
      </c>
      <c r="AA75" s="9">
        <v>0.62</v>
      </c>
      <c r="AB75" s="9">
        <v>264.32</v>
      </c>
      <c r="AC75" s="9">
        <v>323.33999999999997</v>
      </c>
      <c r="AD75" s="4">
        <v>44.27</v>
      </c>
      <c r="AE75" s="4">
        <v>52.51</v>
      </c>
      <c r="AF75" s="9">
        <v>1072</v>
      </c>
      <c r="AG75" s="9">
        <v>830</v>
      </c>
      <c r="AH75" s="4">
        <v>252143</v>
      </c>
      <c r="AI75" s="9">
        <v>0</v>
      </c>
      <c r="AJ75" s="9">
        <v>0</v>
      </c>
      <c r="AK75" s="4">
        <v>210000</v>
      </c>
      <c r="AL75" s="5">
        <f>_xll.PIArcVal(Sheet1!$A$11,Sheet1!C75,0,"","auto")</f>
        <v>22706</v>
      </c>
      <c r="AM75" s="5">
        <f>_xll.PIArcVal(Sheet1!$A$12,Sheet1!C75,0,"","auto")</f>
        <v>179892</v>
      </c>
      <c r="AN75" s="5">
        <f>_xll.PIArcVal(Sheet1!$A$13,Sheet1!C75,0,"","auto")</f>
        <v>415</v>
      </c>
    </row>
    <row r="76" spans="2:40">
      <c r="B76" s="20">
        <v>46096</v>
      </c>
      <c r="C76" s="13">
        <v>46097</v>
      </c>
      <c r="D76" s="6">
        <f>_xll.PIArcVal(Sheet1!$A$1,Sheet1!C76,0,"","auto")</f>
        <v>164.69999694824219</v>
      </c>
      <c r="E76" s="6">
        <f>_xll.PIArcVal(Sheet1!$A$2,Sheet1!C76,0,"","auto")</f>
        <v>431.55999755859375</v>
      </c>
      <c r="F76" s="7">
        <f>_xll.PIArcVal(Sheet1!$A$3,Sheet1!C76,0,"","auto")</f>
        <v>492043</v>
      </c>
      <c r="G76" s="7">
        <f>_xll.PIArcVal(Sheet1!$A$4,Sheet1!C76,0,"","auto")</f>
        <v>413289</v>
      </c>
      <c r="H76" s="6">
        <f>_xll.PIArcVal(Sheet1!$A$5,Sheet1!C76,0,"","auto")</f>
        <v>44.860000610351563</v>
      </c>
      <c r="I76" s="6">
        <f>_xll.PIArcVal(Sheet1!$A$6,Sheet1!C76,0,"","auto")</f>
        <v>51.5</v>
      </c>
      <c r="J76" s="6">
        <f>_xll.PIArcVal(Sheet1!$A$7,Sheet1!C76,0,"","auto")</f>
        <v>41236</v>
      </c>
      <c r="K76" s="6">
        <f>_xll.PIArcVal(Sheet1!$A$8,Sheet1!C76,0,"","auto")</f>
        <v>124044</v>
      </c>
      <c r="L76" s="6">
        <f>_xll.PIArcVal(Sheet1!$A$9,Sheet1!C76,0,"","auto")</f>
        <v>1295.699951171875</v>
      </c>
      <c r="M76" s="6">
        <f>_xll.PIArcVal(Sheet1!$A$10,Sheet1!C76,0,"","auto")</f>
        <v>2373.60009765625</v>
      </c>
      <c r="N76" s="8">
        <f t="shared" si="83"/>
        <v>0.52323319910119492</v>
      </c>
      <c r="O76" s="8">
        <f t="shared" si="84"/>
        <v>0.52324677893742388</v>
      </c>
      <c r="P76" s="8">
        <f t="shared" si="85"/>
        <v>0.52324339085844085</v>
      </c>
      <c r="Q76" s="8">
        <f t="shared" si="86"/>
        <v>234.72698833272077</v>
      </c>
      <c r="R76" s="8">
        <f t="shared" si="87"/>
        <v>269.47034629209702</v>
      </c>
      <c r="S76" s="4">
        <f t="shared" si="88"/>
        <v>259.87347411788085</v>
      </c>
      <c r="T76" s="5">
        <f t="shared" si="89"/>
        <v>22706</v>
      </c>
      <c r="U76" s="5">
        <f t="shared" si="90"/>
        <v>179892</v>
      </c>
      <c r="V76" s="5">
        <f t="shared" si="91"/>
        <v>0</v>
      </c>
      <c r="W76" s="5" t="s">
        <v>53</v>
      </c>
      <c r="X76" s="7">
        <f t="shared" si="92"/>
        <v>165280</v>
      </c>
      <c r="Y76" s="4">
        <v>0.61699999999999999</v>
      </c>
      <c r="Z76" s="9">
        <v>0.624</v>
      </c>
      <c r="AA76" s="9">
        <v>0.62</v>
      </c>
      <c r="AB76" s="9">
        <v>264.32</v>
      </c>
      <c r="AC76" s="9">
        <v>323.33999999999997</v>
      </c>
      <c r="AD76" s="4">
        <v>44.27</v>
      </c>
      <c r="AE76" s="4">
        <v>52.51</v>
      </c>
      <c r="AF76" s="9">
        <v>1072</v>
      </c>
      <c r="AG76" s="9">
        <v>830</v>
      </c>
      <c r="AH76" s="4">
        <v>252143</v>
      </c>
      <c r="AI76" s="9">
        <v>0</v>
      </c>
      <c r="AJ76" s="9">
        <v>0</v>
      </c>
      <c r="AK76" s="4">
        <v>210000</v>
      </c>
      <c r="AL76" s="5">
        <f>_xll.PIArcVal(Sheet1!$A$11,Sheet1!C76,0,"","auto")</f>
        <v>22706</v>
      </c>
      <c r="AM76" s="5">
        <f>_xll.PIArcVal(Sheet1!$A$12,Sheet1!C76,0,"","auto")</f>
        <v>179892</v>
      </c>
      <c r="AN76" s="5">
        <f>_xll.PIArcVal(Sheet1!$A$13,Sheet1!C76,0,"","auto")</f>
        <v>415</v>
      </c>
    </row>
    <row r="77" spans="2:40">
      <c r="B77" s="20">
        <v>46097</v>
      </c>
      <c r="C77" s="13">
        <v>46098</v>
      </c>
      <c r="D77" s="6">
        <f>_xll.PIArcVal(Sheet1!$A$1,Sheet1!C77,0,"","auto")</f>
        <v>212.57989501953125</v>
      </c>
      <c r="E77" s="6">
        <f>_xll.PIArcVal(Sheet1!$A$2,Sheet1!C77,0,"","auto")</f>
        <v>489.2586669921875</v>
      </c>
      <c r="F77" s="7">
        <f>_xll.PIArcVal(Sheet1!$A$3,Sheet1!C77,0,"","auto")</f>
        <v>500432.90625</v>
      </c>
      <c r="G77" s="7">
        <f>_xll.PIArcVal(Sheet1!$A$4,Sheet1!C77,0,"","auto")</f>
        <v>435669.5625</v>
      </c>
      <c r="H77" s="6">
        <f>_xll.PIArcVal(Sheet1!$A$5,Sheet1!C77,0,"","auto")</f>
        <v>44.190132141113281</v>
      </c>
      <c r="I77" s="6">
        <f>_xll.PIArcVal(Sheet1!$A$6,Sheet1!C77,0,"","auto")</f>
        <v>51.219924926757813</v>
      </c>
      <c r="J77" s="6">
        <f>_xll.PIArcVal(Sheet1!$A$7,Sheet1!C77,0,"","auto")</f>
        <v>57765.4453125</v>
      </c>
      <c r="K77" s="6">
        <f>_xll.PIArcVal(Sheet1!$A$8,Sheet1!C77,0,"","auto")</f>
        <v>154100.28125</v>
      </c>
      <c r="L77" s="6">
        <f>_xll.PIArcVal(Sheet1!$A$9,Sheet1!C77,0,"","auto")</f>
        <v>1277.49169921875</v>
      </c>
      <c r="M77" s="6">
        <f>_xll.PIArcVal(Sheet1!$A$10,Sheet1!C77,0,"","auto")</f>
        <v>2534.961181640625</v>
      </c>
      <c r="N77" s="8">
        <f t="shared" ref="N77" si="93">(J77+F77-F76)/(D77*H77/100)/1000</f>
        <v>0.70423481809708932</v>
      </c>
      <c r="O77" s="8">
        <f t="shared" ref="O77" si="94">(K77+G77-G76)/(E77*I77/100)/1000</f>
        <v>0.70423905509700979</v>
      </c>
      <c r="P77" s="8">
        <f t="shared" ref="P77" si="95">((J77+K77)+F77+G77-F76-G76)/(D77*H77/100+E77*I77/100)/1000</f>
        <v>0.70423789986357255</v>
      </c>
      <c r="Q77" s="8">
        <f t="shared" ref="Q77" si="96">P77*H77*10</f>
        <v>311.20365853751372</v>
      </c>
      <c r="R77" s="8">
        <f t="shared" ref="R77" si="97">P77*I77*10</f>
        <v>360.71012361589771</v>
      </c>
      <c r="S77" s="4">
        <f t="shared" ref="S77" si="98">((J77+K77)+F77+G77-F76-G76)/(D77+E77)</f>
        <v>345.71510949329775</v>
      </c>
      <c r="T77" s="5">
        <f t="shared" ref="T77" si="99">IF(AL77&lt;3000,0,AL77)</f>
        <v>91428.8125</v>
      </c>
      <c r="U77" s="5">
        <f t="shared" ref="U77" si="100">IF(AM77&lt;3000,0,AM77)</f>
        <v>120879.8203125</v>
      </c>
      <c r="V77" s="5">
        <f t="shared" ref="V77" si="101">IF(AN77&lt;3000,0,AN77)</f>
        <v>0</v>
      </c>
      <c r="W77" s="5" t="s">
        <v>53</v>
      </c>
      <c r="X77" s="7">
        <f t="shared" ref="X77" si="102">J77+K77</f>
        <v>211865.7265625</v>
      </c>
      <c r="Y77" s="4">
        <v>0.61699999999999999</v>
      </c>
      <c r="Z77" s="9">
        <v>0.624</v>
      </c>
      <c r="AA77" s="9">
        <v>0.62</v>
      </c>
      <c r="AB77" s="9">
        <v>264.32</v>
      </c>
      <c r="AC77" s="9">
        <v>323.33999999999997</v>
      </c>
      <c r="AD77" s="4">
        <v>44.27</v>
      </c>
      <c r="AE77" s="4">
        <v>52.51</v>
      </c>
      <c r="AF77" s="9">
        <v>1072</v>
      </c>
      <c r="AG77" s="9">
        <v>830</v>
      </c>
      <c r="AH77" s="4">
        <v>252143</v>
      </c>
      <c r="AI77" s="9">
        <v>0</v>
      </c>
      <c r="AJ77" s="9">
        <v>0</v>
      </c>
      <c r="AK77" s="4">
        <v>210000</v>
      </c>
      <c r="AL77" s="5">
        <f>_xll.PIArcVal(Sheet1!$A$11,Sheet1!C77,0,"","auto")</f>
        <v>91428.8125</v>
      </c>
      <c r="AM77" s="5">
        <f>_xll.PIArcVal(Sheet1!$A$12,Sheet1!C77,0,"","auto")</f>
        <v>120879.8203125</v>
      </c>
      <c r="AN77" s="5">
        <f>_xll.PIArcVal(Sheet1!$A$13,Sheet1!C77,0,"","auto")</f>
        <v>-421.98843383789063</v>
      </c>
    </row>
    <row r="78" spans="2:40">
      <c r="B78" s="20">
        <v>46098</v>
      </c>
      <c r="C78" s="13">
        <v>46099</v>
      </c>
      <c r="D78" s="6">
        <f>_xll.PIArcVal(Sheet1!$A$1,Sheet1!C78,0,"","auto")</f>
        <v>212.42340087890625</v>
      </c>
      <c r="E78" s="6">
        <f>_xll.PIArcVal(Sheet1!$A$2,Sheet1!C78,0,"","auto")</f>
        <v>487.30960083007813</v>
      </c>
      <c r="F78" s="7">
        <f>_xll.PIArcVal(Sheet1!$A$3,Sheet1!C78,0,"","auto")</f>
        <v>508913.90625</v>
      </c>
      <c r="G78" s="7">
        <f>_xll.PIArcVal(Sheet1!$A$4,Sheet1!C78,0,"","auto")</f>
        <v>458075.03125</v>
      </c>
      <c r="H78" s="6">
        <f>_xll.PIArcVal(Sheet1!$A$5,Sheet1!C78,0,"","auto")</f>
        <v>44.380092620849609</v>
      </c>
      <c r="I78" s="6">
        <f>_xll.PIArcVal(Sheet1!$A$6,Sheet1!C78,0,"","auto")</f>
        <v>51.109710693359375</v>
      </c>
      <c r="J78" s="6">
        <f>_xll.PIArcVal(Sheet1!$A$7,Sheet1!C78,0,"","auto")</f>
        <v>49778.5390625</v>
      </c>
      <c r="K78" s="6">
        <f>_xll.PIArcVal(Sheet1!$A$8,Sheet1!C78,0,"","auto")</f>
        <v>131511.96875</v>
      </c>
      <c r="L78" s="6">
        <f>_xll.PIArcVal(Sheet1!$A$9,Sheet1!C78,0,"","auto")</f>
        <v>833.96905517578125</v>
      </c>
      <c r="M78" s="6">
        <f>_xll.PIArcVal(Sheet1!$A$10,Sheet1!C78,0,"","auto")</f>
        <v>2436.007080078125</v>
      </c>
      <c r="N78" s="8">
        <f t="shared" ref="N78:N79" si="103">(J78+F78-F77)/(D78*H78/100)/1000</f>
        <v>0.61798293469369792</v>
      </c>
      <c r="O78" s="8">
        <f t="shared" ref="O78:O79" si="104">(K78+G78-G77)/(E78*I78/100)/1000</f>
        <v>0.61798713460374488</v>
      </c>
      <c r="P78" s="8">
        <f t="shared" ref="P78:P79" si="105">((J78+K78)+F78+G78-F77-G77)/(D78*H78/100+E78*I78/100)/1000</f>
        <v>0.61798598138705885</v>
      </c>
      <c r="Q78" s="8">
        <f t="shared" ref="Q78:Q79" si="106">P78*H78*10</f>
        <v>274.26275092344315</v>
      </c>
      <c r="R78" s="8">
        <f t="shared" ref="R78:R79" si="107">P78*I78*10</f>
        <v>315.85084721244351</v>
      </c>
      <c r="S78" s="4">
        <f t="shared" ref="S78:S79" si="108">((J78+K78)+F78+G78-F77-G77)/(D78+E78)</f>
        <v>303.22562469440794</v>
      </c>
      <c r="T78" s="5">
        <f t="shared" ref="T78:T79" si="109">IF(AL78&lt;3000,0,AL78)</f>
        <v>75146</v>
      </c>
      <c r="U78" s="5">
        <f t="shared" ref="U78:U79" si="110">IF(AM78&lt;3000,0,AM78)</f>
        <v>105539</v>
      </c>
      <c r="V78" s="5">
        <f t="shared" ref="V78:V79" si="111">IF(AN78&lt;3000,0,AN78)</f>
        <v>0</v>
      </c>
      <c r="W78" s="5" t="s">
        <v>53</v>
      </c>
      <c r="X78" s="7">
        <f t="shared" ref="X78:X79" si="112">J78+K78</f>
        <v>181290.5078125</v>
      </c>
      <c r="Y78" s="4">
        <v>0.61699999999999999</v>
      </c>
      <c r="Z78" s="9">
        <v>0.624</v>
      </c>
      <c r="AA78" s="9">
        <v>0.62</v>
      </c>
      <c r="AB78" s="9">
        <v>264.32</v>
      </c>
      <c r="AC78" s="9">
        <v>323.33999999999997</v>
      </c>
      <c r="AD78" s="4">
        <v>44.27</v>
      </c>
      <c r="AE78" s="4">
        <v>52.51</v>
      </c>
      <c r="AF78" s="9">
        <v>1072</v>
      </c>
      <c r="AG78" s="9">
        <v>830</v>
      </c>
      <c r="AH78" s="4">
        <v>252143</v>
      </c>
      <c r="AI78" s="9">
        <v>0</v>
      </c>
      <c r="AJ78" s="9">
        <v>0</v>
      </c>
      <c r="AK78" s="4">
        <v>210000</v>
      </c>
      <c r="AL78" s="5">
        <f>_xll.PIArcVal(Sheet1!$A$11,Sheet1!C78,0,"","auto")</f>
        <v>75146</v>
      </c>
      <c r="AM78" s="5">
        <f>_xll.PIArcVal(Sheet1!$A$12,Sheet1!C78,0,"","auto")</f>
        <v>105539</v>
      </c>
      <c r="AN78" s="5">
        <f>_xll.PIArcVal(Sheet1!$A$13,Sheet1!C78,0,"","auto")</f>
        <v>578</v>
      </c>
    </row>
    <row r="79" spans="2:40">
      <c r="B79" s="20">
        <v>46099</v>
      </c>
      <c r="C79" s="13">
        <v>46100</v>
      </c>
      <c r="D79" s="6">
        <f>_xll.PIArcVal(Sheet1!$A$1,Sheet1!C79,0,"","auto")</f>
        <v>202.94000244140625</v>
      </c>
      <c r="E79" s="6">
        <f>_xll.PIArcVal(Sheet1!$A$2,Sheet1!C79,0,"","auto")</f>
        <v>486.739990234375</v>
      </c>
      <c r="F79" s="7">
        <f>_xll.PIArcVal(Sheet1!$A$3,Sheet1!C79,0,"","auto")</f>
        <v>507353</v>
      </c>
      <c r="G79" s="7">
        <f>_xll.PIArcVal(Sheet1!$A$4,Sheet1!C79,0,"","auto")</f>
        <v>453811</v>
      </c>
      <c r="H79" s="6">
        <f>_xll.PIArcVal(Sheet1!$A$5,Sheet1!C79,0,"","auto")</f>
        <v>44.509998321533203</v>
      </c>
      <c r="I79" s="6">
        <f>_xll.PIArcVal(Sheet1!$A$6,Sheet1!C79,0,"","auto")</f>
        <v>50.689998626708984</v>
      </c>
      <c r="J79" s="6">
        <f>_xll.PIArcVal(Sheet1!$A$7,Sheet1!C79,0,"","auto")</f>
        <v>59191</v>
      </c>
      <c r="K79" s="6">
        <f>_xll.PIArcVal(Sheet1!$A$8,Sheet1!C79,0,"","auto")</f>
        <v>161677</v>
      </c>
      <c r="L79" s="6">
        <f>_xll.PIArcVal(Sheet1!$A$9,Sheet1!C79,0,"","auto")</f>
        <v>1077.300048828125</v>
      </c>
      <c r="M79" s="6">
        <f>_xll.PIArcVal(Sheet1!$A$10,Sheet1!C79,0,"","auto")</f>
        <v>2719.590087890625</v>
      </c>
      <c r="N79" s="8">
        <f t="shared" si="103"/>
        <v>0.63800500680795724</v>
      </c>
      <c r="O79" s="8">
        <f t="shared" si="104"/>
        <v>0.63800076742187628</v>
      </c>
      <c r="P79" s="8">
        <f t="shared" si="105"/>
        <v>0.63800190354329345</v>
      </c>
      <c r="Q79" s="8">
        <f t="shared" si="106"/>
        <v>283.9746365584698</v>
      </c>
      <c r="R79" s="8">
        <f t="shared" si="107"/>
        <v>323.40315614447263</v>
      </c>
      <c r="S79" s="4">
        <f t="shared" si="108"/>
        <v>311.80121909247816</v>
      </c>
      <c r="T79" s="5">
        <f t="shared" si="109"/>
        <v>75146</v>
      </c>
      <c r="U79" s="5">
        <f t="shared" si="110"/>
        <v>105539</v>
      </c>
      <c r="V79" s="5">
        <f t="shared" si="111"/>
        <v>0</v>
      </c>
      <c r="W79" s="5" t="s">
        <v>53</v>
      </c>
      <c r="X79" s="7">
        <f t="shared" si="112"/>
        <v>220868</v>
      </c>
      <c r="Y79" s="4">
        <v>0.61699999999999999</v>
      </c>
      <c r="Z79" s="9">
        <v>0.624</v>
      </c>
      <c r="AA79" s="9">
        <v>0.62</v>
      </c>
      <c r="AB79" s="9">
        <v>264.32</v>
      </c>
      <c r="AC79" s="9">
        <v>323.33999999999997</v>
      </c>
      <c r="AD79" s="4">
        <v>44.27</v>
      </c>
      <c r="AE79" s="4">
        <v>52.51</v>
      </c>
      <c r="AF79" s="9">
        <v>1072</v>
      </c>
      <c r="AG79" s="9">
        <v>830</v>
      </c>
      <c r="AH79" s="4">
        <v>252143</v>
      </c>
      <c r="AI79" s="9">
        <v>0</v>
      </c>
      <c r="AJ79" s="9">
        <v>0</v>
      </c>
      <c r="AK79" s="4">
        <v>210000</v>
      </c>
      <c r="AL79" s="5">
        <f>_xll.PIArcVal(Sheet1!$A$11,Sheet1!C79,0,"","auto")</f>
        <v>75146</v>
      </c>
      <c r="AM79" s="5">
        <f>_xll.PIArcVal(Sheet1!$A$12,Sheet1!C79,0,"","auto")</f>
        <v>105539</v>
      </c>
      <c r="AN79" s="5">
        <f>_xll.PIArcVal(Sheet1!$A$13,Sheet1!C79,0,"","auto")</f>
        <v>578</v>
      </c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2026-03-19T02:07:08Z</dcterms:modified>
</cp:coreProperties>
</file>