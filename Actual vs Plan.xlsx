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0" i="1" l="1"/>
  <c r="G50" i="1"/>
  <c r="H50" i="1"/>
  <c r="I50" i="1"/>
  <c r="J50" i="1"/>
  <c r="K50" i="1"/>
  <c r="L50" i="1"/>
  <c r="M50" i="1"/>
  <c r="AL50" i="1"/>
  <c r="AM50" i="1"/>
  <c r="AN50" i="1"/>
  <c r="D50" i="1"/>
  <c r="E50" i="1"/>
  <c r="F50" i="1"/>
  <c r="V50" i="1" l="1"/>
  <c r="U50" i="1"/>
  <c r="T50" i="1"/>
  <c r="O50" i="1"/>
  <c r="S50" i="1"/>
  <c r="X50" i="1"/>
  <c r="N50" i="1"/>
  <c r="P50" i="1"/>
  <c r="AK49" i="1"/>
  <c r="D49" i="1"/>
  <c r="G49" i="1"/>
  <c r="I49" i="1"/>
  <c r="J49" i="1"/>
  <c r="L49" i="1"/>
  <c r="AL49" i="1"/>
  <c r="E49" i="1"/>
  <c r="H49" i="1"/>
  <c r="K49" i="1"/>
  <c r="M49" i="1"/>
  <c r="AM49" i="1"/>
  <c r="AN49" i="1"/>
  <c r="F49" i="1"/>
  <c r="Q50" i="1" l="1"/>
  <c r="R50" i="1"/>
  <c r="V49" i="1"/>
  <c r="U49" i="1"/>
  <c r="O49" i="1"/>
  <c r="T49" i="1"/>
  <c r="P49" i="1"/>
  <c r="X49" i="1"/>
  <c r="N49" i="1"/>
  <c r="S49" i="1"/>
  <c r="AK47" i="1"/>
  <c r="AK48" i="1"/>
  <c r="D47" i="1"/>
  <c r="E47" i="1"/>
  <c r="F47" i="1"/>
  <c r="G47" i="1"/>
  <c r="G48" i="1"/>
  <c r="H48" i="1"/>
  <c r="I47" i="1"/>
  <c r="I48" i="1"/>
  <c r="J47" i="1"/>
  <c r="J48" i="1"/>
  <c r="K47" i="1"/>
  <c r="K48" i="1"/>
  <c r="L47" i="1"/>
  <c r="L48" i="1"/>
  <c r="M47" i="1"/>
  <c r="AL47" i="1"/>
  <c r="M48" i="1"/>
  <c r="AL48" i="1"/>
  <c r="AM47" i="1"/>
  <c r="AM48" i="1"/>
  <c r="AN47" i="1"/>
  <c r="AN48" i="1"/>
  <c r="E48" i="1"/>
  <c r="F48" i="1"/>
  <c r="H47" i="1"/>
  <c r="D48" i="1"/>
  <c r="Q49" i="1" l="1"/>
  <c r="R49" i="1"/>
  <c r="V48" i="1"/>
  <c r="V47" i="1"/>
  <c r="U48" i="1"/>
  <c r="U47" i="1"/>
  <c r="T48" i="1"/>
  <c r="T47" i="1"/>
  <c r="O48" i="1"/>
  <c r="O47" i="1"/>
  <c r="S48" i="1"/>
  <c r="X48" i="1"/>
  <c r="N48" i="1"/>
  <c r="P48" i="1"/>
  <c r="S47" i="1"/>
  <c r="X47" i="1"/>
  <c r="N47" i="1"/>
  <c r="P47" i="1"/>
  <c r="AK46" i="1"/>
  <c r="D46" i="1"/>
  <c r="K46" i="1"/>
  <c r="M46" i="1"/>
  <c r="AM46" i="1"/>
  <c r="AN46" i="1"/>
  <c r="E46" i="1"/>
  <c r="H46" i="1"/>
  <c r="J46" i="1"/>
  <c r="L46" i="1"/>
  <c r="AL46" i="1"/>
  <c r="F46" i="1"/>
  <c r="I46" i="1"/>
  <c r="G46" i="1"/>
  <c r="Q48" i="1" l="1"/>
  <c r="R48" i="1"/>
  <c r="Q47" i="1"/>
  <c r="R47" i="1"/>
  <c r="T46" i="1"/>
  <c r="P46" i="1"/>
  <c r="N46" i="1"/>
  <c r="S46" i="1"/>
  <c r="X46" i="1"/>
  <c r="V46" i="1"/>
  <c r="U46" i="1"/>
  <c r="O46" i="1"/>
  <c r="AN45" i="1"/>
  <c r="AM45" i="1"/>
  <c r="AL45" i="1"/>
  <c r="AK45" i="1"/>
  <c r="V45" i="1"/>
  <c r="U45" i="1"/>
  <c r="T45" i="1"/>
  <c r="M45" i="1"/>
  <c r="L45" i="1"/>
  <c r="K45" i="1"/>
  <c r="J45" i="1"/>
  <c r="I45" i="1"/>
  <c r="H45" i="1"/>
  <c r="G45" i="1"/>
  <c r="F45" i="1"/>
  <c r="E45" i="1"/>
  <c r="D45" i="1"/>
  <c r="Q46" i="1" l="1"/>
  <c r="R46" i="1"/>
  <c r="S45" i="1"/>
  <c r="P45" i="1"/>
  <c r="N45" i="1"/>
  <c r="X45" i="1"/>
  <c r="O45" i="1"/>
  <c r="R45" i="1" l="1"/>
  <c r="Q45" i="1"/>
  <c r="AR4" i="1" l="1"/>
</calcChain>
</file>

<file path=xl/sharedStrings.xml><?xml version="1.0" encoding="utf-8"?>
<sst xmlns="http://schemas.openxmlformats.org/spreadsheetml/2006/main" count="100" uniqueCount="53">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</sst>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11" activePane="bottomRight" state="frozen"/>
      <selection pane="topRight" activeCell="C1" sqref="C1"/>
      <selection pane="bottomLeft" activeCell="A2" sqref="A2"/>
      <selection pane="bottomRight" activeCell="Z54" sqref="Z54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212.6300048828125</v>
      </c>
      <c r="E45" s="6">
        <f>_xll.PIArcVal(Sheet1!$A$2,Sheet1!C45,0,"","auto")</f>
        <v>613.59002685546875</v>
      </c>
      <c r="F45" s="7">
        <f>_xll.PIArcVal(Sheet1!$A$3,Sheet1!C45,0,"","auto")</f>
        <v>410518</v>
      </c>
      <c r="G45" s="7">
        <f>_xll.PIArcVal(Sheet1!$A$4,Sheet1!C45,0,"","auto")</f>
        <v>157520</v>
      </c>
      <c r="H45" s="6">
        <f>_xll.PIArcVal(Sheet1!$A$5,Sheet1!C45,0,"","auto")</f>
        <v>44.860000610351563</v>
      </c>
      <c r="I45" s="6">
        <f>_xll.PIArcVal(Sheet1!$A$6,Sheet1!C45,0,"","auto")</f>
        <v>52.540000915527344</v>
      </c>
      <c r="J45" s="6">
        <f>_xll.PIArcVal(Sheet1!$A$7,Sheet1!C45,0,"","auto")</f>
        <v>58943</v>
      </c>
      <c r="K45" s="6">
        <f>_xll.PIArcVal(Sheet1!$A$8,Sheet1!C45,0,"","auto")</f>
        <v>199213</v>
      </c>
      <c r="L45" s="6">
        <f>_xll.PIArcVal(Sheet1!$A$9,Sheet1!C45,0,"","auto")</f>
        <v>1093.699951171875</v>
      </c>
      <c r="M45" s="6">
        <f>_xll.PIArcVal(Sheet1!$A$10,Sheet1!C45,0,"","auto")</f>
        <v>1078.25</v>
      </c>
      <c r="N45" s="8">
        <f t="shared" ref="N45" si="0">(J45+F45-F44)/(D45*H45/100)/1000</f>
        <v>0.63144604785354053</v>
      </c>
      <c r="O45" s="8">
        <f t="shared" ref="O45" si="1">(K45+G45-G44)/(E45*I45/100)/1000</f>
        <v>0.6314438553715096</v>
      </c>
      <c r="P45" s="8">
        <f t="shared" ref="P45" si="2">((J45+K45)+F45+G45-F44-G44)/(D45*H45/100+E45*I45/100)/1000</f>
        <v>0.63144435596678539</v>
      </c>
      <c r="Q45" s="8">
        <f t="shared" ref="Q45" si="3">P45*H45*10</f>
        <v>283.26594194073044</v>
      </c>
      <c r="R45" s="8">
        <f t="shared" ref="R45" si="4">P45*I45*10</f>
        <v>331.76087040599475</v>
      </c>
      <c r="S45" s="4">
        <f t="shared" ref="S45" si="5">((J45+K45)+F45+G45-F44-G44)/(D45+E45)</f>
        <v>319.2805667577444</v>
      </c>
      <c r="T45" s="5">
        <f t="shared" ref="T45" si="6">IF(AL45&lt;3000,0,AL45)</f>
        <v>256026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258156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256026</v>
      </c>
      <c r="AM45" s="5">
        <f>_xll.PIArcVal(Sheet1!$A$12,Sheet1!C45,0,"","auto")</f>
        <v>494</v>
      </c>
      <c r="AN45" s="5">
        <f>_xll.PIArcVal(Sheet1!$A$13,Sheet1!C45,0,"","auto")</f>
        <v>-4</v>
      </c>
    </row>
    <row r="46" spans="2:40">
      <c r="B46" s="20">
        <v>46066</v>
      </c>
      <c r="C46" s="13">
        <v>46067</v>
      </c>
      <c r="D46" s="6">
        <f>_xll.PIArcVal(Sheet1!$A$1,Sheet1!C46,0,"","auto")</f>
        <v>205.00999450683594</v>
      </c>
      <c r="E46" s="6">
        <f>_xll.PIArcVal(Sheet1!$A$2,Sheet1!C46,0,"","auto")</f>
        <v>599.8900146484375</v>
      </c>
      <c r="F46" s="7">
        <f>_xll.PIArcVal(Sheet1!$A$3,Sheet1!C46,0,"","auto")</f>
        <v>410915</v>
      </c>
      <c r="G46" s="7">
        <f>_xll.PIArcVal(Sheet1!$A$4,Sheet1!C46,0,"","auto")</f>
        <v>158882</v>
      </c>
      <c r="H46" s="6">
        <f>_xll.PIArcVal(Sheet1!$A$5,Sheet1!C46,0,"","auto")</f>
        <v>44.740001678466797</v>
      </c>
      <c r="I46" s="6">
        <f>_xll.PIArcVal(Sheet1!$A$6,Sheet1!C46,0,"","auto")</f>
        <v>52.5</v>
      </c>
      <c r="J46" s="6">
        <f>_xll.PIArcVal(Sheet1!$A$7,Sheet1!C46,0,"","auto")</f>
        <v>59181</v>
      </c>
      <c r="K46" s="6">
        <f>_xll.PIArcVal(Sheet1!$A$8,Sheet1!C46,0,"","auto")</f>
        <v>203208</v>
      </c>
      <c r="L46" s="6">
        <f>_xll.PIArcVal(Sheet1!$A$9,Sheet1!C46,0,"","auto")</f>
        <v>1325.9000244140625</v>
      </c>
      <c r="M46" s="6">
        <f>_xll.PIArcVal(Sheet1!$A$10,Sheet1!C46,0,"","auto")</f>
        <v>1332.4100341796875</v>
      </c>
      <c r="N46" s="8">
        <f t="shared" ref="N46" si="11">(J46+F46-F45)/(D46*H46/100)/1000</f>
        <v>0.64955344439013407</v>
      </c>
      <c r="O46" s="8">
        <f t="shared" ref="O46" si="12">(K46+G46-G45)/(E46*I46/100)/1000</f>
        <v>0.64954763930434722</v>
      </c>
      <c r="P46" s="8">
        <f t="shared" ref="P46" si="13">((J46+K46)+F46+G46-F45-G45)/(D46*H46/100+E46*I46/100)/1000</f>
        <v>0.64954894861960699</v>
      </c>
      <c r="Q46" s="8">
        <f t="shared" ref="Q46" si="14">P46*H46*10</f>
        <v>290.60821051487562</v>
      </c>
      <c r="R46" s="8">
        <f t="shared" ref="R46" si="15">P46*I46*10</f>
        <v>341.01319802529366</v>
      </c>
      <c r="S46" s="4">
        <f t="shared" ref="S46" si="16">((J46+K46)+F46+G46-F45-G45)/(D46+E46)</f>
        <v>328.17492482975382</v>
      </c>
      <c r="T46" s="5">
        <f t="shared" ref="T46" si="17">IF(AL46&lt;3000,0,AL46)</f>
        <v>256026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262389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256026</v>
      </c>
      <c r="AM46" s="5">
        <f>_xll.PIArcVal(Sheet1!$A$12,Sheet1!C46,0,"","auto")</f>
        <v>494</v>
      </c>
      <c r="AN46" s="5">
        <f>_xll.PIArcVal(Sheet1!$A$13,Sheet1!C46,0,"","auto")</f>
        <v>-4</v>
      </c>
    </row>
    <row r="47" spans="2:40">
      <c r="B47" s="20">
        <v>46067</v>
      </c>
      <c r="C47" s="13">
        <v>46068</v>
      </c>
      <c r="D47" s="6">
        <f>_xll.PIArcVal(Sheet1!$A$1,Sheet1!C47,0,"","auto")</f>
        <v>211.64106750488281</v>
      </c>
      <c r="E47" s="6">
        <f>_xll.PIArcVal(Sheet1!$A$2,Sheet1!C47,0,"","auto")</f>
        <v>554.2242431640625</v>
      </c>
      <c r="F47" s="7">
        <f>_xll.PIArcVal(Sheet1!$A$3,Sheet1!C47,0,"","auto")</f>
        <v>405426.375</v>
      </c>
      <c r="G47" s="7">
        <f>_xll.PIArcVal(Sheet1!$A$4,Sheet1!C47,0,"","auto")</f>
        <v>142202.21875</v>
      </c>
      <c r="H47" s="6">
        <f>_xll.PIArcVal(Sheet1!$A$5,Sheet1!C47,0,"","auto")</f>
        <v>45.129909515380859</v>
      </c>
      <c r="I47" s="6">
        <f>_xll.PIArcVal(Sheet1!$A$6,Sheet1!C47,0,"","auto")</f>
        <v>52.380168914794922</v>
      </c>
      <c r="J47" s="6">
        <f>_xll.PIArcVal(Sheet1!$A$7,Sheet1!C47,0,"","auto")</f>
        <v>60646.63671875</v>
      </c>
      <c r="K47" s="6">
        <f>_xll.PIArcVal(Sheet1!$A$8,Sheet1!C47,0,"","auto")</f>
        <v>184332.25</v>
      </c>
      <c r="L47" s="6">
        <f>_xll.PIArcVal(Sheet1!$A$9,Sheet1!C47,0,"","auto")</f>
        <v>1266.32861328125</v>
      </c>
      <c r="M47" s="6">
        <f>_xll.PIArcVal(Sheet1!$A$10,Sheet1!C47,0,"","auto")</f>
        <v>1257.6495361328125</v>
      </c>
      <c r="N47" s="8">
        <f t="shared" ref="N47:N48" si="22">(J47+F47-F46)/(D47*H47/100)/1000</f>
        <v>0.57748963875727877</v>
      </c>
      <c r="O47" s="8">
        <f t="shared" ref="O47:O48" si="23">(K47+G47-G46)/(E47*I47/100)/1000</f>
        <v>0.57750738120351541</v>
      </c>
      <c r="P47" s="8">
        <f t="shared" ref="P47:P48" si="24">((J47+K47)+F47+G47-F46-G46)/(D47*H47/100+E47*I47/100)/1000</f>
        <v>0.57750298885770202</v>
      </c>
      <c r="Q47" s="8">
        <f t="shared" ref="Q47:Q48" si="25">P47*H47*10</f>
        <v>260.62657632010092</v>
      </c>
      <c r="R47" s="8">
        <f t="shared" ref="R47:R48" si="26">P47*I47*10</f>
        <v>302.49704105165358</v>
      </c>
      <c r="S47" s="4">
        <f t="shared" ref="S47:S48" si="27">((J47+K47)+F47+G47-F46-G46)/(D47+E47)</f>
        <v>290.92645582045765</v>
      </c>
      <c r="T47" s="5">
        <f t="shared" ref="T47:T48" si="28">IF(AL47&lt;3000,0,AL47)</f>
        <v>244544.515625</v>
      </c>
      <c r="U47" s="5">
        <f t="shared" ref="U47:U48" si="29">IF(AM47&lt;3000,0,AM47)</f>
        <v>0</v>
      </c>
      <c r="V47" s="5">
        <f t="shared" ref="V47:V48" si="30">IF(AN47&lt;3000,0,AN47)</f>
        <v>0</v>
      </c>
      <c r="W47" s="5" t="s">
        <v>51</v>
      </c>
      <c r="X47" s="7">
        <f t="shared" ref="X47:X48" si="31">J47+K47</f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f t="shared" ref="AK47:AK48" si="32">SUM(AH47:AJ47)</f>
        <v>250000</v>
      </c>
      <c r="AL47" s="5">
        <f>_xll.PIArcVal(Sheet1!$A$11,Sheet1!C47,0,"","auto")</f>
        <v>244544.515625</v>
      </c>
      <c r="AM47" s="5">
        <f>_xll.PIArcVal(Sheet1!$A$12,Sheet1!C47,0,"","auto")</f>
        <v>511.9976806640625</v>
      </c>
      <c r="AN47" s="5">
        <f>_xll.PIArcVal(Sheet1!$A$13,Sheet1!C47,0,"","auto")</f>
        <v>-48.999271392822266</v>
      </c>
    </row>
    <row r="48" spans="2:40">
      <c r="B48" s="20">
        <v>46068</v>
      </c>
      <c r="C48" s="13">
        <v>46069</v>
      </c>
      <c r="D48" s="6">
        <f>_xll.PIArcVal(Sheet1!$A$1,Sheet1!C48,0,"","auto")</f>
        <v>213.16999816894531</v>
      </c>
      <c r="E48" s="6">
        <f>_xll.PIArcVal(Sheet1!$A$2,Sheet1!C48,0,"","auto")</f>
        <v>517.1400146484375</v>
      </c>
      <c r="F48" s="7">
        <f>_xll.PIArcVal(Sheet1!$A$3,Sheet1!C48,0,"","auto")</f>
        <v>404525</v>
      </c>
      <c r="G48" s="7">
        <f>_xll.PIArcVal(Sheet1!$A$4,Sheet1!C48,0,"","auto")</f>
        <v>139642</v>
      </c>
      <c r="H48" s="6">
        <f>_xll.PIArcVal(Sheet1!$A$5,Sheet1!C48,0,"","auto")</f>
        <v>45</v>
      </c>
      <c r="I48" s="6">
        <f>_xll.PIArcVal(Sheet1!$A$6,Sheet1!C48,0,"","auto")</f>
        <v>52.619998931884766</v>
      </c>
      <c r="J48" s="6">
        <f>_xll.PIArcVal(Sheet1!$A$7,Sheet1!C48,0,"","auto")</f>
        <v>52931</v>
      </c>
      <c r="K48" s="6">
        <f>_xll.PIArcVal(Sheet1!$A$8,Sheet1!C48,0,"","auto")</f>
        <v>150153</v>
      </c>
      <c r="L48" s="6">
        <f>_xll.PIArcVal(Sheet1!$A$9,Sheet1!C48,0,"","auto")</f>
        <v>1307.4000244140625</v>
      </c>
      <c r="M48" s="6">
        <f>_xll.PIArcVal(Sheet1!$A$10,Sheet1!C48,0,"","auto")</f>
        <v>1386.3800048828125</v>
      </c>
      <c r="N48" s="8">
        <f t="shared" si="22"/>
        <v>0.54239053282373517</v>
      </c>
      <c r="O48" s="8">
        <f t="shared" si="23"/>
        <v>0.54238308674951796</v>
      </c>
      <c r="P48" s="8">
        <f t="shared" si="24"/>
        <v>0.5423850274761336</v>
      </c>
      <c r="Q48" s="8">
        <f t="shared" si="25"/>
        <v>244.07326236426013</v>
      </c>
      <c r="R48" s="8">
        <f t="shared" si="26"/>
        <v>285.40299566464444</v>
      </c>
      <c r="S48" s="4">
        <f t="shared" si="27"/>
        <v>273.33927064740442</v>
      </c>
      <c r="T48" s="5">
        <f t="shared" si="28"/>
        <v>202759</v>
      </c>
      <c r="U48" s="5">
        <f t="shared" si="29"/>
        <v>0</v>
      </c>
      <c r="V48" s="5">
        <f t="shared" si="30"/>
        <v>0</v>
      </c>
      <c r="W48" s="5" t="s">
        <v>51</v>
      </c>
      <c r="X48" s="7">
        <f t="shared" si="31"/>
        <v>203084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f t="shared" si="32"/>
        <v>250000</v>
      </c>
      <c r="AL48" s="5">
        <f>_xll.PIArcVal(Sheet1!$A$11,Sheet1!C48,0,"","auto")</f>
        <v>202759</v>
      </c>
      <c r="AM48" s="5">
        <f>_xll.PIArcVal(Sheet1!$A$12,Sheet1!C48,0,"","auto")</f>
        <v>311</v>
      </c>
      <c r="AN48" s="5">
        <f>_xll.PIArcVal(Sheet1!$A$13,Sheet1!C48,0,"","auto")</f>
        <v>14</v>
      </c>
    </row>
    <row r="49" spans="2:40">
      <c r="B49" s="20">
        <v>46069</v>
      </c>
      <c r="C49" s="13">
        <v>46070</v>
      </c>
      <c r="D49" s="6">
        <f>_xll.PIArcVal(Sheet1!$A$1,Sheet1!C49,0,"","auto")</f>
        <v>201.67999267578125</v>
      </c>
      <c r="E49" s="6">
        <f>_xll.PIArcVal(Sheet1!$A$2,Sheet1!C49,0,"","auto")</f>
        <v>601</v>
      </c>
      <c r="F49" s="7">
        <f>_xll.PIArcVal(Sheet1!$A$3,Sheet1!C49,0,"","auto")</f>
        <v>405532</v>
      </c>
      <c r="G49" s="7">
        <f>_xll.PIArcVal(Sheet1!$A$4,Sheet1!C49,0,"","auto")</f>
        <v>143088</v>
      </c>
      <c r="H49" s="6">
        <f>_xll.PIArcVal(Sheet1!$A$5,Sheet1!C49,0,"","auto")</f>
        <v>45.310001373291016</v>
      </c>
      <c r="I49" s="6">
        <f>_xll.PIArcVal(Sheet1!$A$6,Sheet1!C49,0,"","auto")</f>
        <v>51.990001678466797</v>
      </c>
      <c r="J49" s="6">
        <f>_xll.PIArcVal(Sheet1!$A$7,Sheet1!C49,0,"","auto")</f>
        <v>56429</v>
      </c>
      <c r="K49" s="6">
        <f>_xll.PIArcVal(Sheet1!$A$8,Sheet1!C49,0,"","auto")</f>
        <v>192946</v>
      </c>
      <c r="L49" s="6">
        <f>_xll.PIArcVal(Sheet1!$A$9,Sheet1!C49,0,"","auto")</f>
        <v>1235.800048828125</v>
      </c>
      <c r="M49" s="6">
        <f>_xll.PIArcVal(Sheet1!$A$10,Sheet1!C49,0,"","auto")</f>
        <v>762.9000244140625</v>
      </c>
      <c r="N49" s="8">
        <f t="shared" ref="N49" si="33">(J49+F49-F48)/(D49*H49/100)/1000</f>
        <v>0.62853185684558643</v>
      </c>
      <c r="O49" s="8">
        <f t="shared" ref="O49" si="34">(K49+G49-G48)/(E49*I49/100)/1000</f>
        <v>0.62853503332619365</v>
      </c>
      <c r="P49" s="8">
        <f t="shared" ref="P49" si="35">((J49+K49)+F49+G49-F48-G48)/(D49*H49/100+E49*I49/100)/1000</f>
        <v>0.62853431455185216</v>
      </c>
      <c r="Q49" s="8">
        <f t="shared" ref="Q49" si="36">P49*H49*10</f>
        <v>284.78890655504949</v>
      </c>
      <c r="R49" s="8">
        <f t="shared" ref="R49" si="37">P49*I49*10</f>
        <v>326.77500068524773</v>
      </c>
      <c r="S49" s="4">
        <f t="shared" ref="S49" si="38">((J49+K49)+F49+G49-F48-G48)/(D49+E49)</f>
        <v>316.22564697775675</v>
      </c>
      <c r="T49" s="5">
        <f t="shared" ref="T49" si="39">IF(AL49&lt;3000,0,AL49)</f>
        <v>249131</v>
      </c>
      <c r="U49" s="5">
        <f t="shared" ref="U49" si="40">IF(AM49&lt;3000,0,AM49)</f>
        <v>0</v>
      </c>
      <c r="V49" s="5">
        <f t="shared" ref="V49" si="41">IF(AN49&lt;3000,0,AN49)</f>
        <v>0</v>
      </c>
      <c r="W49" s="5" t="s">
        <v>51</v>
      </c>
      <c r="X49" s="7">
        <f t="shared" ref="X49" si="42">J49+K49</f>
        <v>249375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f t="shared" ref="AK49" si="43">SUM(AH49:AJ49)</f>
        <v>250000</v>
      </c>
      <c r="AL49" s="5">
        <f>_xll.PIArcVal(Sheet1!$A$11,Sheet1!C49,0,"","auto")</f>
        <v>249131</v>
      </c>
      <c r="AM49" s="5">
        <f>_xll.PIArcVal(Sheet1!$A$12,Sheet1!C49,0,"","auto")</f>
        <v>302</v>
      </c>
      <c r="AN49" s="5">
        <f>_xll.PIArcVal(Sheet1!$A$13,Sheet1!C49,0,"","auto")</f>
        <v>-58</v>
      </c>
    </row>
    <row r="50" spans="2:40">
      <c r="B50" s="20">
        <v>46070</v>
      </c>
      <c r="C50" s="13">
        <v>46071</v>
      </c>
      <c r="D50" s="6">
        <f>_xll.PIArcVal(Sheet1!$A$1,Sheet1!C50,0,"","auto")</f>
        <v>213.75</v>
      </c>
      <c r="E50" s="6">
        <f>_xll.PIArcVal(Sheet1!$A$2,Sheet1!C50,0,"","auto")</f>
        <v>597.17999267578125</v>
      </c>
      <c r="F50" s="7">
        <f>_xll.PIArcVal(Sheet1!$A$3,Sheet1!C50,0,"","auto")</f>
        <v>407936</v>
      </c>
      <c r="G50" s="7">
        <f>_xll.PIArcVal(Sheet1!$A$4,Sheet1!C50,0,"","auto")</f>
        <v>150926</v>
      </c>
      <c r="H50" s="6">
        <f>_xll.PIArcVal(Sheet1!$A$5,Sheet1!C50,0,"","auto")</f>
        <v>44.889999389648438</v>
      </c>
      <c r="I50" s="6">
        <f>_xll.PIArcVal(Sheet1!$A$6,Sheet1!C50,0,"","auto")</f>
        <v>52.400001525878906</v>
      </c>
      <c r="J50" s="6">
        <f>_xll.PIArcVal(Sheet1!$A$7,Sheet1!C50,0,"","auto")</f>
        <v>60511</v>
      </c>
      <c r="K50" s="6">
        <f>_xll.PIArcVal(Sheet1!$A$8,Sheet1!C50,0,"","auto")</f>
        <v>197339</v>
      </c>
      <c r="L50" s="6">
        <f>_xll.PIArcVal(Sheet1!$A$9,Sheet1!C50,0,"","auto")</f>
        <v>1499.9000244140625</v>
      </c>
      <c r="M50" s="6">
        <f>_xll.PIArcVal(Sheet1!$A$10,Sheet1!C50,0,"","auto")</f>
        <v>1031.3699951171875</v>
      </c>
      <c r="N50" s="8">
        <f t="shared" ref="N50" si="44">(J50+F50-F49)/(D50*H50/100)/1000</f>
        <v>0.6556898758934353</v>
      </c>
      <c r="O50" s="8">
        <f t="shared" ref="O50" si="45">(K50+G50-G49)/(E50*I50/100)/1000</f>
        <v>0.65568028685748836</v>
      </c>
      <c r="P50" s="8">
        <f t="shared" ref="P50" si="46">((J50+K50)+F50+G50-F49-G49)/(D50*H50/100+E50*I50/100)/1000</f>
        <v>0.65568253715755065</v>
      </c>
      <c r="Q50" s="8">
        <f t="shared" ref="Q50" si="47">P50*H50*10</f>
        <v>294.33588692805591</v>
      </c>
      <c r="R50" s="8">
        <f t="shared" ref="R50" si="48">P50*I50*10</f>
        <v>343.57765947547807</v>
      </c>
      <c r="S50" s="4">
        <f t="shared" ref="S50" si="49">((J50+K50)+F50+G50-F49-G49)/(D50+E50)</f>
        <v>330.59820505021838</v>
      </c>
      <c r="T50" s="5">
        <f t="shared" ref="T50" si="50">IF(AL50&lt;3000,0,AL50)</f>
        <v>257516</v>
      </c>
      <c r="U50" s="5">
        <f t="shared" ref="U50" si="51">IF(AM50&lt;3000,0,AM50)</f>
        <v>0</v>
      </c>
      <c r="V50" s="5">
        <f t="shared" ref="V50" si="52">IF(AN50&lt;3000,0,AN50)</f>
        <v>0</v>
      </c>
      <c r="W50" s="5" t="s">
        <v>51</v>
      </c>
      <c r="X50" s="7">
        <f t="shared" ref="X50" si="53">J50+K50</f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f t="shared" ref="AK50" si="54">SUM(AH50:AJ50)</f>
        <v>250000</v>
      </c>
      <c r="AL50" s="5">
        <f>_xll.PIArcVal(Sheet1!$A$11,Sheet1!C50,0,"","auto")</f>
        <v>257516</v>
      </c>
      <c r="AM50" s="5">
        <f>_xll.PIArcVal(Sheet1!$A$12,Sheet1!C50,0,"","auto")</f>
        <v>223</v>
      </c>
      <c r="AN50" s="5">
        <f>_xll.PIArcVal(Sheet1!$A$13,Sheet1!C50,0,"","auto")</f>
        <v>111</v>
      </c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2026-02-18T04:19:30Z</dcterms:modified>
</cp:coreProperties>
</file>