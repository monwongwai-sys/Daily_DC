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2" i="1" l="1"/>
  <c r="D52" i="1"/>
  <c r="E52" i="1"/>
  <c r="I52" i="1"/>
  <c r="K52" i="1"/>
  <c r="M52" i="1"/>
  <c r="F52" i="1"/>
  <c r="H52" i="1"/>
  <c r="L52" i="1"/>
  <c r="AL52" i="1"/>
  <c r="AM52" i="1"/>
  <c r="AN52" i="1"/>
  <c r="G52" i="1"/>
  <c r="J52" i="1"/>
  <c r="N52" i="1" l="1"/>
  <c r="P52" i="1"/>
  <c r="X52" i="1"/>
  <c r="S52" i="1"/>
  <c r="V52" i="1"/>
  <c r="U52" i="1"/>
  <c r="T52" i="1"/>
  <c r="O52" i="1"/>
  <c r="AK51" i="1"/>
  <c r="E51" i="1"/>
  <c r="F51" i="1"/>
  <c r="H51" i="1"/>
  <c r="I51" i="1"/>
  <c r="K51" i="1"/>
  <c r="L51" i="1"/>
  <c r="M51" i="1"/>
  <c r="AL51" i="1"/>
  <c r="AM51" i="1"/>
  <c r="AN51" i="1"/>
  <c r="D51" i="1"/>
  <c r="G51" i="1"/>
  <c r="J51" i="1"/>
  <c r="Q52" i="1" l="1"/>
  <c r="R52" i="1"/>
  <c r="N51" i="1"/>
  <c r="S51" i="1"/>
  <c r="X51" i="1"/>
  <c r="P51" i="1"/>
  <c r="V51" i="1"/>
  <c r="U51" i="1"/>
  <c r="T51" i="1"/>
  <c r="O51" i="1"/>
  <c r="AR4" i="1"/>
  <c r="Q51" i="1" l="1"/>
  <c r="R51" i="1"/>
  <c r="AK50" i="1"/>
  <c r="E50" i="1"/>
  <c r="F50" i="1"/>
  <c r="L50" i="1"/>
  <c r="AN50" i="1"/>
  <c r="G50" i="1"/>
  <c r="AL50" i="1"/>
  <c r="H50" i="1"/>
  <c r="K50" i="1"/>
  <c r="M50" i="1"/>
  <c r="AM50" i="1"/>
  <c r="D50" i="1"/>
  <c r="I50" i="1"/>
  <c r="J50" i="1"/>
  <c r="V50" i="1" l="1"/>
  <c r="U50" i="1"/>
  <c r="T50" i="1"/>
  <c r="X50" i="1"/>
  <c r="AK49" i="1"/>
  <c r="J49" i="1"/>
  <c r="AL49" i="1"/>
  <c r="L49" i="1"/>
  <c r="E49" i="1"/>
  <c r="H49" i="1"/>
  <c r="K49" i="1"/>
  <c r="AN49" i="1"/>
  <c r="M49" i="1"/>
  <c r="AM49" i="1"/>
  <c r="F49" i="1"/>
  <c r="D49" i="1"/>
  <c r="G49" i="1"/>
  <c r="I49" i="1"/>
  <c r="O50" i="1" l="1"/>
  <c r="S50" i="1"/>
  <c r="N50" i="1"/>
  <c r="P50" i="1"/>
  <c r="Q50" i="1" s="1"/>
  <c r="V49" i="1"/>
  <c r="U49" i="1"/>
  <c r="T49" i="1"/>
  <c r="X49" i="1"/>
  <c r="AK47" i="1"/>
  <c r="AK48" i="1"/>
  <c r="J47" i="1"/>
  <c r="J48" i="1"/>
  <c r="AN48" i="1"/>
  <c r="F48" i="1"/>
  <c r="H47" i="1"/>
  <c r="D47" i="1"/>
  <c r="L47" i="1"/>
  <c r="E47" i="1"/>
  <c r="L48" i="1"/>
  <c r="D48" i="1"/>
  <c r="G47" i="1"/>
  <c r="M48" i="1"/>
  <c r="AL48" i="1"/>
  <c r="AM47" i="1"/>
  <c r="I48" i="1"/>
  <c r="AN47" i="1"/>
  <c r="F47" i="1"/>
  <c r="M47" i="1"/>
  <c r="AL47" i="1"/>
  <c r="G48" i="1"/>
  <c r="H48" i="1"/>
  <c r="E48" i="1"/>
  <c r="K48" i="1"/>
  <c r="I47" i="1"/>
  <c r="AM48" i="1"/>
  <c r="K47" i="1"/>
  <c r="O49" i="1" l="1"/>
  <c r="N49" i="1"/>
  <c r="S49" i="1"/>
  <c r="P49" i="1"/>
  <c r="Q49" i="1" s="1"/>
  <c r="R50" i="1"/>
  <c r="V48" i="1"/>
  <c r="V47" i="1"/>
  <c r="U48" i="1"/>
  <c r="U47" i="1"/>
  <c r="T48" i="1"/>
  <c r="T47" i="1"/>
  <c r="O48" i="1"/>
  <c r="S48" i="1"/>
  <c r="X48" i="1"/>
  <c r="N48" i="1"/>
  <c r="P48" i="1"/>
  <c r="X47" i="1"/>
  <c r="AK46" i="1"/>
  <c r="D46" i="1"/>
  <c r="G46" i="1"/>
  <c r="AL46" i="1"/>
  <c r="K46" i="1"/>
  <c r="AM46" i="1"/>
  <c r="M46" i="1"/>
  <c r="AN46" i="1"/>
  <c r="E46" i="1"/>
  <c r="H46" i="1"/>
  <c r="L46" i="1"/>
  <c r="I46" i="1"/>
  <c r="J46" i="1"/>
  <c r="F46" i="1"/>
  <c r="N47" i="1" l="1"/>
  <c r="S47" i="1"/>
  <c r="P47" i="1"/>
  <c r="Q47" i="1" s="1"/>
  <c r="O47" i="1"/>
  <c r="R49" i="1"/>
  <c r="Q48" i="1"/>
  <c r="R48" i="1"/>
  <c r="T46" i="1"/>
  <c r="X46" i="1"/>
  <c r="V46" i="1"/>
  <c r="U46" i="1"/>
  <c r="AK45" i="1"/>
  <c r="M45" i="1"/>
  <c r="L45" i="1"/>
  <c r="J45" i="1"/>
  <c r="AM45" i="1"/>
  <c r="K45" i="1"/>
  <c r="I45" i="1"/>
  <c r="H45" i="1"/>
  <c r="G45" i="1"/>
  <c r="F45" i="1"/>
  <c r="AN45" i="1"/>
  <c r="AL45" i="1"/>
  <c r="E45" i="1"/>
  <c r="D45" i="1"/>
  <c r="T45" i="1" l="1"/>
  <c r="V45" i="1"/>
  <c r="S46" i="1"/>
  <c r="N46" i="1"/>
  <c r="P46" i="1"/>
  <c r="O46" i="1"/>
  <c r="U45" i="1"/>
  <c r="R47" i="1"/>
  <c r="Q46" i="1"/>
  <c r="R46" i="1"/>
  <c r="S45" i="1"/>
  <c r="P45" i="1"/>
  <c r="N45" i="1"/>
  <c r="X45" i="1"/>
  <c r="O45" i="1"/>
  <c r="R45" i="1" l="1"/>
  <c r="Q45" i="1"/>
</calcChain>
</file>

<file path=xl/sharedStrings.xml><?xml version="1.0" encoding="utf-8"?>
<sst xmlns="http://schemas.openxmlformats.org/spreadsheetml/2006/main" count="102" uniqueCount="53">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</sst>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O11" activePane="bottomRight" state="frozen"/>
      <selection pane="topRight" activeCell="C1" sqref="C1"/>
      <selection pane="bottomLeft" activeCell="A2" sqref="A2"/>
      <selection pane="bottomRight" activeCell="AE56" sqref="AE56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212.62471008300781</v>
      </c>
      <c r="E45" s="6">
        <f>_xll.PIArcVal(Sheet1!$A$2,Sheet1!C45,0,"","auto")</f>
        <v>613.58050537109375</v>
      </c>
      <c r="F45" s="7">
        <f>_xll.PIArcVal(Sheet1!$A$3,Sheet1!C45,0,"","auto")</f>
        <v>410518.28125</v>
      </c>
      <c r="G45" s="7">
        <f>_xll.PIArcVal(Sheet1!$A$4,Sheet1!C45,0,"","auto")</f>
        <v>157520.953125</v>
      </c>
      <c r="H45" s="6">
        <f>_xll.PIArcVal(Sheet1!$A$5,Sheet1!C45,0,"","auto")</f>
        <v>44.859916687011719</v>
      </c>
      <c r="I45" s="6">
        <f>_xll.PIArcVal(Sheet1!$A$6,Sheet1!C45,0,"","auto")</f>
        <v>52.539974212646484</v>
      </c>
      <c r="J45" s="6">
        <f>_xll.PIArcVal(Sheet1!$A$7,Sheet1!C45,0,"","auto")</f>
        <v>58943.1640625</v>
      </c>
      <c r="K45" s="6">
        <f>_xll.PIArcVal(Sheet1!$A$8,Sheet1!C45,0,"","auto")</f>
        <v>199215.78125</v>
      </c>
      <c r="L45" s="6">
        <f>_xll.PIArcVal(Sheet1!$A$9,Sheet1!C45,0,"","auto")</f>
        <v>1093.8612060546875</v>
      </c>
      <c r="M45" s="6">
        <f>_xll.PIArcVal(Sheet1!$A$10,Sheet1!C45,0,"","auto")</f>
        <v>1078.426513671875</v>
      </c>
      <c r="N45" s="8">
        <f t="shared" ref="N45" si="0">(J45+F45-F44)/(D45*H45/100)/1000</f>
        <v>0.63146762217535901</v>
      </c>
      <c r="O45" s="8">
        <f t="shared" ref="O45" si="1">(K45+G45-G44)/(E45*I45/100)/1000</f>
        <v>0.63146555893309519</v>
      </c>
      <c r="P45" s="8">
        <f t="shared" ref="P45" si="2">((J45+K45)+F45+G45-F44-G44)/(D45*H45/100+E45*I45/100)/1000</f>
        <v>0.63146603001598223</v>
      </c>
      <c r="Q45" s="8">
        <f t="shared" ref="Q45" si="3">P45*H45*10</f>
        <v>283.27513497195002</v>
      </c>
      <c r="R45" s="8">
        <f t="shared" ref="R45" si="4">P45*I45*10</f>
        <v>331.77208933201962</v>
      </c>
      <c r="S45" s="4">
        <f t="shared" ref="S45" si="5">((J45+K45)+F45+G45-F44-G44)/(D45+E45)</f>
        <v>319.29135129280115</v>
      </c>
      <c r="T45" s="5">
        <f t="shared" ref="T45" si="6">IF(AL45&lt;3000,0,AL45)</f>
        <v>258112.046875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258112.046875</v>
      </c>
      <c r="AM45" s="5">
        <f>_xll.PIArcVal(Sheet1!$A$12,Sheet1!C45,0,"","auto")</f>
        <v>84.006019592285156</v>
      </c>
      <c r="AN45" s="5">
        <f>_xll.PIArcVal(Sheet1!$A$13,Sheet1!C45,0,"","auto")</f>
        <v>-39.998458862304688</v>
      </c>
    </row>
    <row r="46" spans="2:40">
      <c r="B46" s="20">
        <v>46066</v>
      </c>
      <c r="C46" s="13">
        <v>46067</v>
      </c>
      <c r="D46" s="6">
        <f>_xll.PIArcVal(Sheet1!$A$1,Sheet1!C46,0,"","auto")</f>
        <v>205.01460266113281</v>
      </c>
      <c r="E46" s="6">
        <f>_xll.PIArcVal(Sheet1!$A$2,Sheet1!C46,0,"","auto")</f>
        <v>599.85833740234375</v>
      </c>
      <c r="F46" s="7">
        <f>_xll.PIArcVal(Sheet1!$A$3,Sheet1!C46,0,"","auto")</f>
        <v>410911.1875</v>
      </c>
      <c r="G46" s="7">
        <f>_xll.PIArcVal(Sheet1!$A$4,Sheet1!C46,0,"","auto")</f>
        <v>158870.421875</v>
      </c>
      <c r="H46" s="6">
        <f>_xll.PIArcVal(Sheet1!$A$5,Sheet1!C46,0,"","auto")</f>
        <v>44.740272521972656</v>
      </c>
      <c r="I46" s="6">
        <f>_xll.PIArcVal(Sheet1!$A$6,Sheet1!C46,0,"","auto")</f>
        <v>52.499916076660156</v>
      </c>
      <c r="J46" s="6">
        <f>_xll.PIArcVal(Sheet1!$A$7,Sheet1!C46,0,"","auto")</f>
        <v>59182.0234375</v>
      </c>
      <c r="K46" s="6">
        <f>_xll.PIArcVal(Sheet1!$A$8,Sheet1!C46,0,"","auto")</f>
        <v>203194.90625</v>
      </c>
      <c r="L46" s="6">
        <f>_xll.PIArcVal(Sheet1!$A$9,Sheet1!C46,0,"","auto")</f>
        <v>1325.858642578125</v>
      </c>
      <c r="M46" s="6">
        <f>_xll.PIArcVal(Sheet1!$A$10,Sheet1!C46,0,"","auto")</f>
        <v>1332.3580322265625</v>
      </c>
      <c r="N46" s="8">
        <f t="shared" ref="N46" si="11">(J46+F46-F45)/(D46*H46/100)/1000</f>
        <v>0.64950143879528022</v>
      </c>
      <c r="O46" s="8">
        <f t="shared" ref="O46" si="12">(K46+G46-G45)/(E46*I46/100)/1000</f>
        <v>0.64950161037344356</v>
      </c>
      <c r="P46" s="8">
        <f t="shared" ref="P46" si="13">((J46+K46)+F46+G46-F45-G45)/(D46*H46/100+E46*I46/100)/1000</f>
        <v>0.6495015716721485</v>
      </c>
      <c r="Q46" s="8">
        <f t="shared" ref="Q46" si="14">P46*H46*10</f>
        <v>290.58877320061481</v>
      </c>
      <c r="R46" s="8">
        <f t="shared" ref="R46" si="15">P46*I46*10</f>
        <v>340.98778004446666</v>
      </c>
      <c r="S46" s="4">
        <f t="shared" ref="S46" si="16">((J46+K46)+F46+G46-F45-G45)/(D46+E46)</f>
        <v>328.15030986961762</v>
      </c>
      <c r="T46" s="5">
        <f t="shared" ref="T46" si="17">IF(AL46&lt;3000,0,AL46)</f>
        <v>261691.796875</v>
      </c>
      <c r="U46" s="5">
        <f t="shared" ref="U46" si="18">IF(AM46&lt;3000,0,AM46)</f>
        <v>0</v>
      </c>
      <c r="V46" s="5">
        <f t="shared" ref="V46" si="19">IF(AN46&lt;3000,0,AN46)</f>
        <v>0</v>
      </c>
      <c r="W46" s="5" t="s">
        <v>51</v>
      </c>
      <c r="X46" s="7">
        <f t="shared" ref="X46" si="20">J46+K46</f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1369.99</v>
      </c>
      <c r="AG46" s="9">
        <v>1287.671</v>
      </c>
      <c r="AH46" s="4">
        <v>250000</v>
      </c>
      <c r="AI46" s="9">
        <v>0</v>
      </c>
      <c r="AJ46" s="9">
        <v>0</v>
      </c>
      <c r="AK46" s="4">
        <f t="shared" ref="AK46" si="21">SUM(AH46:AJ46)</f>
        <v>250000</v>
      </c>
      <c r="AL46" s="5">
        <f>_xll.PIArcVal(Sheet1!$A$11,Sheet1!C46,0,"","auto")</f>
        <v>261691.796875</v>
      </c>
      <c r="AM46" s="5">
        <f>_xll.PIArcVal(Sheet1!$A$12,Sheet1!C46,0,"","auto")</f>
        <v>603.99896240234375</v>
      </c>
      <c r="AN46" s="5">
        <f>_xll.PIArcVal(Sheet1!$A$13,Sheet1!C46,0,"","auto")</f>
        <v>92.998359680175781</v>
      </c>
    </row>
    <row r="47" spans="2:40">
      <c r="B47" s="20">
        <v>46067</v>
      </c>
      <c r="C47" s="13">
        <v>46068</v>
      </c>
      <c r="D47" s="6">
        <f>_xll.PIArcVal(Sheet1!$A$1,Sheet1!C47,0,"","auto")</f>
        <v>211.64106750488281</v>
      </c>
      <c r="E47" s="6">
        <f>_xll.PIArcVal(Sheet1!$A$2,Sheet1!C47,0,"","auto")</f>
        <v>554.2242431640625</v>
      </c>
      <c r="F47" s="7">
        <f>_xll.PIArcVal(Sheet1!$A$3,Sheet1!C47,0,"","auto")</f>
        <v>405426.375</v>
      </c>
      <c r="G47" s="7">
        <f>_xll.PIArcVal(Sheet1!$A$4,Sheet1!C47,0,"","auto")</f>
        <v>142202.21875</v>
      </c>
      <c r="H47" s="6">
        <f>_xll.PIArcVal(Sheet1!$A$5,Sheet1!C47,0,"","auto")</f>
        <v>45.129909515380859</v>
      </c>
      <c r="I47" s="6">
        <f>_xll.PIArcVal(Sheet1!$A$6,Sheet1!C47,0,"","auto")</f>
        <v>52.380168914794922</v>
      </c>
      <c r="J47" s="6">
        <f>_xll.PIArcVal(Sheet1!$A$7,Sheet1!C47,0,"","auto")</f>
        <v>60646.63671875</v>
      </c>
      <c r="K47" s="6">
        <f>_xll.PIArcVal(Sheet1!$A$8,Sheet1!C47,0,"","auto")</f>
        <v>184332.25</v>
      </c>
      <c r="L47" s="6">
        <f>_xll.PIArcVal(Sheet1!$A$9,Sheet1!C47,0,"","auto")</f>
        <v>1266.32861328125</v>
      </c>
      <c r="M47" s="6">
        <f>_xll.PIArcVal(Sheet1!$A$10,Sheet1!C47,0,"","auto")</f>
        <v>1257.6495361328125</v>
      </c>
      <c r="N47" s="8">
        <f t="shared" ref="N47:N48" si="22">(J47+F47-F46)/(D47*H47/100)/1000</f>
        <v>0.57752955461318356</v>
      </c>
      <c r="O47" s="8">
        <f t="shared" ref="O47:O48" si="23">(K47+G47-G46)/(E47*I47/100)/1000</f>
        <v>0.57754726402002177</v>
      </c>
      <c r="P47" s="8">
        <f t="shared" ref="P47:P48" si="24">((J47+K47)+F47+G47-F46-G46)/(D47*H47/100+E47*I47/100)/1000</f>
        <v>0.57754287985348995</v>
      </c>
      <c r="Q47" s="8">
        <f t="shared" ref="Q47:Q48" si="25">P47*H47*10</f>
        <v>260.64457909040482</v>
      </c>
      <c r="R47" s="8">
        <f t="shared" ref="R47:R48" si="26">P47*I47*10</f>
        <v>302.51793602262916</v>
      </c>
      <c r="S47" s="4">
        <f t="shared" ref="S47:S48" si="27">((J47+K47)+F47+G47-F46-G46)/(D47+E47)</f>
        <v>290.94655155372249</v>
      </c>
      <c r="T47" s="5">
        <f t="shared" ref="T47:T48" si="28">IF(AL47&lt;3000,0,AL47)</f>
        <v>244544.515625</v>
      </c>
      <c r="U47" s="5">
        <f t="shared" ref="U47:U48" si="29">IF(AM47&lt;3000,0,AM47)</f>
        <v>0</v>
      </c>
      <c r="V47" s="5">
        <f t="shared" ref="V47:V48" si="30">IF(AN47&lt;3000,0,AN47)</f>
        <v>0</v>
      </c>
      <c r="W47" s="5" t="s">
        <v>51</v>
      </c>
      <c r="X47" s="7">
        <f t="shared" ref="X47:X48" si="31">J47+K47</f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1369.99</v>
      </c>
      <c r="AG47" s="9">
        <v>1287.671</v>
      </c>
      <c r="AH47" s="4">
        <v>250000</v>
      </c>
      <c r="AI47" s="9">
        <v>0</v>
      </c>
      <c r="AJ47" s="9">
        <v>0</v>
      </c>
      <c r="AK47" s="4">
        <f t="shared" ref="AK47:AK48" si="32">SUM(AH47:AJ47)</f>
        <v>250000</v>
      </c>
      <c r="AL47" s="5">
        <f>_xll.PIArcVal(Sheet1!$A$11,Sheet1!C47,0,"","auto")</f>
        <v>244544.515625</v>
      </c>
      <c r="AM47" s="5">
        <f>_xll.PIArcVal(Sheet1!$A$12,Sheet1!C47,0,"","auto")</f>
        <v>511.9976806640625</v>
      </c>
      <c r="AN47" s="5">
        <f>_xll.PIArcVal(Sheet1!$A$13,Sheet1!C47,0,"","auto")</f>
        <v>-48.999271392822266</v>
      </c>
    </row>
    <row r="48" spans="2:40">
      <c r="B48" s="20">
        <v>46068</v>
      </c>
      <c r="C48" s="13">
        <v>46069</v>
      </c>
      <c r="D48" s="6">
        <f>_xll.PIArcVal(Sheet1!$A$1,Sheet1!C48,0,"","auto")</f>
        <v>213.16201782226563</v>
      </c>
      <c r="E48" s="6">
        <f>_xll.PIArcVal(Sheet1!$A$2,Sheet1!C48,0,"","auto")</f>
        <v>517.1982421875</v>
      </c>
      <c r="F48" s="7">
        <f>_xll.PIArcVal(Sheet1!$A$3,Sheet1!C48,0,"","auto")</f>
        <v>404525.6875</v>
      </c>
      <c r="G48" s="7">
        <f>_xll.PIArcVal(Sheet1!$A$4,Sheet1!C48,0,"","auto")</f>
        <v>139644.390625</v>
      </c>
      <c r="H48" s="6">
        <f>_xll.PIArcVal(Sheet1!$A$5,Sheet1!C48,0,"","auto")</f>
        <v>45.000213623046875</v>
      </c>
      <c r="I48" s="6">
        <f>_xll.PIArcVal(Sheet1!$A$6,Sheet1!C48,0,"","auto")</f>
        <v>52.619560241699219</v>
      </c>
      <c r="J48" s="6">
        <f>_xll.PIArcVal(Sheet1!$A$7,Sheet1!C48,0,"","auto")</f>
        <v>52933.4296875</v>
      </c>
      <c r="K48" s="6">
        <f>_xll.PIArcVal(Sheet1!$A$8,Sheet1!C48,0,"","auto")</f>
        <v>150182.71875</v>
      </c>
      <c r="L48" s="6">
        <f>_xll.PIArcVal(Sheet1!$A$9,Sheet1!C48,0,"","auto")</f>
        <v>1307.350341796875</v>
      </c>
      <c r="M48" s="6">
        <f>_xll.PIArcVal(Sheet1!$A$10,Sheet1!C48,0,"","auto")</f>
        <v>1385.947021484375</v>
      </c>
      <c r="N48" s="8">
        <f t="shared" si="22"/>
        <v>0.54244076054368107</v>
      </c>
      <c r="O48" s="8">
        <f t="shared" si="23"/>
        <v>0.54244453040009166</v>
      </c>
      <c r="P48" s="8">
        <f t="shared" si="24"/>
        <v>0.54244354793339655</v>
      </c>
      <c r="Q48" s="8">
        <f t="shared" si="25"/>
        <v>244.1007553544631</v>
      </c>
      <c r="R48" s="8">
        <f t="shared" si="26"/>
        <v>285.43140948202415</v>
      </c>
      <c r="S48" s="4">
        <f t="shared" si="27"/>
        <v>273.36869726432047</v>
      </c>
      <c r="T48" s="5">
        <f t="shared" si="28"/>
        <v>202759.53125</v>
      </c>
      <c r="U48" s="5">
        <f t="shared" si="29"/>
        <v>0</v>
      </c>
      <c r="V48" s="5">
        <f t="shared" si="30"/>
        <v>0</v>
      </c>
      <c r="W48" s="5" t="s">
        <v>51</v>
      </c>
      <c r="X48" s="7">
        <f t="shared" si="31"/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1369.99</v>
      </c>
      <c r="AG48" s="9">
        <v>1287.671</v>
      </c>
      <c r="AH48" s="4">
        <v>250000</v>
      </c>
      <c r="AI48" s="9">
        <v>0</v>
      </c>
      <c r="AJ48" s="9">
        <v>0</v>
      </c>
      <c r="AK48" s="4">
        <f t="shared" si="32"/>
        <v>250000</v>
      </c>
      <c r="AL48" s="5">
        <f>_xll.PIArcVal(Sheet1!$A$11,Sheet1!C48,0,"","auto")</f>
        <v>202759.53125</v>
      </c>
      <c r="AM48" s="5">
        <f>_xll.PIArcVal(Sheet1!$A$12,Sheet1!C48,0,"","auto")</f>
        <v>310.99990844726563</v>
      </c>
      <c r="AN48" s="5">
        <f>_xll.PIArcVal(Sheet1!$A$13,Sheet1!C48,0,"","auto")</f>
        <v>13.999166488647461</v>
      </c>
    </row>
    <row r="49" spans="2:40">
      <c r="B49" s="20">
        <v>46069</v>
      </c>
      <c r="C49" s="13">
        <v>46070</v>
      </c>
      <c r="D49" s="6">
        <f>_xll.PIArcVal(Sheet1!$A$1,Sheet1!C49,0,"","auto")</f>
        <v>201.68836975097656</v>
      </c>
      <c r="E49" s="6">
        <f>_xll.PIArcVal(Sheet1!$A$2,Sheet1!C49,0,"","auto")</f>
        <v>600.99737548828125</v>
      </c>
      <c r="F49" s="7">
        <f>_xll.PIArcVal(Sheet1!$A$3,Sheet1!C49,0,"","auto")</f>
        <v>405533.65625</v>
      </c>
      <c r="G49" s="7">
        <f>_xll.PIArcVal(Sheet1!$A$4,Sheet1!C49,0,"","auto")</f>
        <v>143093.4375</v>
      </c>
      <c r="H49" s="6">
        <f>_xll.PIArcVal(Sheet1!$A$5,Sheet1!C49,0,"","auto")</f>
        <v>45.309711456298828</v>
      </c>
      <c r="I49" s="6">
        <f>_xll.PIArcVal(Sheet1!$A$6,Sheet1!C49,0,"","auto")</f>
        <v>51.990287780761719</v>
      </c>
      <c r="J49" s="6">
        <f>_xll.PIArcVal(Sheet1!$A$7,Sheet1!C49,0,"","auto")</f>
        <v>56431.8359375</v>
      </c>
      <c r="K49" s="6">
        <f>_xll.PIArcVal(Sheet1!$A$8,Sheet1!C49,0,"","auto")</f>
        <v>192949.046875</v>
      </c>
      <c r="L49" s="6">
        <f>_xll.PIArcVal(Sheet1!$A$9,Sheet1!C49,0,"","auto")</f>
        <v>1235.9833984375</v>
      </c>
      <c r="M49" s="6">
        <f>_xll.PIArcVal(Sheet1!$A$10,Sheet1!C49,0,"","auto")</f>
        <v>763.08648681640625</v>
      </c>
      <c r="N49" s="8">
        <f t="shared" ref="N49" si="33">(J49+F49-F48)/(D49*H49/100)/1000</f>
        <v>0.62855140634306583</v>
      </c>
      <c r="O49" s="8">
        <f t="shared" ref="O49" si="34">(K49+G49-G48)/(E49*I49/100)/1000</f>
        <v>0.6285538217323664</v>
      </c>
      <c r="P49" s="8">
        <f t="shared" ref="P49" si="35">((J49+K49)+F49+G49-F48-G48)/(D49*H49/100+E49*I49/100)/1000</f>
        <v>0.62855327516346149</v>
      </c>
      <c r="Q49" s="8">
        <f t="shared" ref="Q49" si="36">P49*H49*10</f>
        <v>284.79567532568041</v>
      </c>
      <c r="R49" s="8">
        <f t="shared" ref="R49" si="37">P49*I49*10</f>
        <v>326.7866566128867</v>
      </c>
      <c r="S49" s="4">
        <f t="shared" ref="S49" si="38">((J49+K49)+F49+G49-F48-G48)/(D49+E49)</f>
        <v>316.23571234822185</v>
      </c>
      <c r="T49" s="5">
        <f t="shared" ref="T49" si="39">IF(AL49&lt;3000,0,AL49)</f>
        <v>249131.09375</v>
      </c>
      <c r="U49" s="5">
        <f t="shared" ref="U49" si="40">IF(AM49&lt;3000,0,AM49)</f>
        <v>0</v>
      </c>
      <c r="V49" s="5">
        <f t="shared" ref="V49" si="41">IF(AN49&lt;3000,0,AN49)</f>
        <v>0</v>
      </c>
      <c r="W49" s="5" t="s">
        <v>51</v>
      </c>
      <c r="X49" s="7">
        <f t="shared" ref="X49" si="42">J49+K49</f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1369.99</v>
      </c>
      <c r="AG49" s="9">
        <v>1287.671</v>
      </c>
      <c r="AH49" s="4">
        <v>250000</v>
      </c>
      <c r="AI49" s="9">
        <v>0</v>
      </c>
      <c r="AJ49" s="9">
        <v>0</v>
      </c>
      <c r="AK49" s="4">
        <f t="shared" ref="AK49" si="43">SUM(AH49:AJ49)</f>
        <v>250000</v>
      </c>
      <c r="AL49" s="5">
        <f>_xll.PIArcVal(Sheet1!$A$11,Sheet1!C49,0,"","auto")</f>
        <v>249131.09375</v>
      </c>
      <c r="AM49" s="5">
        <f>_xll.PIArcVal(Sheet1!$A$12,Sheet1!C49,0,"","auto")</f>
        <v>301.99908447265625</v>
      </c>
      <c r="AN49" s="5">
        <f>_xll.PIArcVal(Sheet1!$A$13,Sheet1!C49,0,"","auto")</f>
        <v>-57.998043060302734</v>
      </c>
    </row>
    <row r="50" spans="2:40">
      <c r="B50" s="20">
        <v>46070</v>
      </c>
      <c r="C50" s="13">
        <v>46071</v>
      </c>
      <c r="D50" s="6">
        <f>_xll.PIArcVal(Sheet1!$A$1,Sheet1!C50,0,"","auto")</f>
        <v>213.75</v>
      </c>
      <c r="E50" s="6">
        <f>_xll.PIArcVal(Sheet1!$A$2,Sheet1!C50,0,"","auto")</f>
        <v>597.17999267578125</v>
      </c>
      <c r="F50" s="7">
        <f>_xll.PIArcVal(Sheet1!$A$3,Sheet1!C50,0,"","auto")</f>
        <v>407936</v>
      </c>
      <c r="G50" s="7">
        <f>_xll.PIArcVal(Sheet1!$A$4,Sheet1!C50,0,"","auto")</f>
        <v>150926</v>
      </c>
      <c r="H50" s="6">
        <f>_xll.PIArcVal(Sheet1!$A$5,Sheet1!C50,0,"","auto")</f>
        <v>44.889999389648438</v>
      </c>
      <c r="I50" s="6">
        <f>_xll.PIArcVal(Sheet1!$A$6,Sheet1!C50,0,"","auto")</f>
        <v>52.400001525878906</v>
      </c>
      <c r="J50" s="6">
        <f>_xll.PIArcVal(Sheet1!$A$7,Sheet1!C50,0,"","auto")</f>
        <v>60511</v>
      </c>
      <c r="K50" s="6">
        <f>_xll.PIArcVal(Sheet1!$A$8,Sheet1!C50,0,"","auto")</f>
        <v>197339</v>
      </c>
      <c r="L50" s="6">
        <f>_xll.PIArcVal(Sheet1!$A$9,Sheet1!C50,0,"","auto")</f>
        <v>1499.9000244140625</v>
      </c>
      <c r="M50" s="6">
        <f>_xll.PIArcVal(Sheet1!$A$10,Sheet1!C50,0,"","auto")</f>
        <v>1031.3699951171875</v>
      </c>
      <c r="N50" s="8">
        <f t="shared" ref="N50" si="44">(J50+F50-F49)/(D50*H50/100)/1000</f>
        <v>0.65567261472587668</v>
      </c>
      <c r="O50" s="8">
        <f t="shared" ref="O50" si="45">(K50+G50-G49)/(E50*I50/100)/1000</f>
        <v>0.65566291034082325</v>
      </c>
      <c r="P50" s="8">
        <f t="shared" ref="P50" si="46">((J50+K50)+F50+G50-F49-G49)/(D50*H50/100+E50*I50/100)/1000</f>
        <v>0.65566518771035354</v>
      </c>
      <c r="Q50" s="8">
        <f t="shared" ref="Q50" si="47">P50*H50*10</f>
        <v>294.32809876131495</v>
      </c>
      <c r="R50" s="8">
        <f t="shared" ref="R50" si="48">P50*I50*10</f>
        <v>343.56856836488203</v>
      </c>
      <c r="S50" s="4">
        <f t="shared" ref="S50" si="49">((J50+K50)+F50+G50-F49-G49)/(D50+E50)</f>
        <v>330.58945737771387</v>
      </c>
      <c r="T50" s="5">
        <f t="shared" ref="T50" si="50">IF(AL50&lt;3000,0,AL50)</f>
        <v>257516</v>
      </c>
      <c r="U50" s="5">
        <f t="shared" ref="U50" si="51">IF(AM50&lt;3000,0,AM50)</f>
        <v>0</v>
      </c>
      <c r="V50" s="5">
        <f t="shared" ref="V50" si="52">IF(AN50&lt;3000,0,AN50)</f>
        <v>0</v>
      </c>
      <c r="W50" s="5" t="s">
        <v>51</v>
      </c>
      <c r="X50" s="7">
        <f t="shared" ref="X50" si="53">J50+K50</f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1369.99</v>
      </c>
      <c r="AG50" s="9">
        <v>1287.671</v>
      </c>
      <c r="AH50" s="4">
        <v>250000</v>
      </c>
      <c r="AI50" s="9">
        <v>0</v>
      </c>
      <c r="AJ50" s="9">
        <v>0</v>
      </c>
      <c r="AK50" s="4">
        <f t="shared" ref="AK50" si="54">SUM(AH50:AJ50)</f>
        <v>250000</v>
      </c>
      <c r="AL50" s="5">
        <f>_xll.PIArcVal(Sheet1!$A$11,Sheet1!C50,0,"","auto")</f>
        <v>257516</v>
      </c>
      <c r="AM50" s="5">
        <f>_xll.PIArcVal(Sheet1!$A$12,Sheet1!C50,0,"","auto")</f>
        <v>223</v>
      </c>
      <c r="AN50" s="5">
        <f>_xll.PIArcVal(Sheet1!$A$13,Sheet1!C50,0,"","auto")</f>
        <v>111</v>
      </c>
    </row>
    <row r="51" spans="2:40">
      <c r="B51" s="20">
        <v>46071</v>
      </c>
      <c r="C51" s="13">
        <v>46072</v>
      </c>
      <c r="D51" s="6">
        <f>_xll.PIArcVal(Sheet1!$A$1,Sheet1!C51,0,"","auto")</f>
        <v>203.75999450683594</v>
      </c>
      <c r="E51" s="6">
        <f>_xll.PIArcVal(Sheet1!$A$2,Sheet1!C51,0,"","auto")</f>
        <v>529.8800048828125</v>
      </c>
      <c r="F51" s="7">
        <f>_xll.PIArcVal(Sheet1!$A$3,Sheet1!C51,0,"","auto")</f>
        <v>403484</v>
      </c>
      <c r="G51" s="7">
        <f>_xll.PIArcVal(Sheet1!$A$4,Sheet1!C51,0,"","auto")</f>
        <v>137525</v>
      </c>
      <c r="H51" s="6">
        <f>_xll.PIArcVal(Sheet1!$A$5,Sheet1!C51,0,"","auto")</f>
        <v>45.319999694824219</v>
      </c>
      <c r="I51" s="6">
        <f>_xll.PIArcVal(Sheet1!$A$6,Sheet1!C51,0,"","auto")</f>
        <v>52.459999084472656</v>
      </c>
      <c r="J51" s="6">
        <f>_xll.PIArcVal(Sheet1!$A$7,Sheet1!C51,0,"","auto")</f>
        <v>63404</v>
      </c>
      <c r="K51" s="6">
        <f>_xll.PIArcVal(Sheet1!$A$8,Sheet1!C51,0,"","auto")</f>
        <v>190859</v>
      </c>
      <c r="L51" s="6">
        <f>_xll.PIArcVal(Sheet1!$A$9,Sheet1!C51,0,"","auto")</f>
        <v>1536.300048828125</v>
      </c>
      <c r="M51" s="6">
        <f>_xll.PIArcVal(Sheet1!$A$10,Sheet1!C51,0,"","auto")</f>
        <v>1607.1300048828125</v>
      </c>
      <c r="N51" s="8">
        <f t="shared" ref="N51" si="55">(J51+F51-F50)/(D51*H51/100)/1000</f>
        <v>0.63839536469728164</v>
      </c>
      <c r="O51" s="8">
        <f t="shared" ref="O51" si="56">(K51+G51-G50)/(E51*I51/100)/1000</f>
        <v>0.63839543418917488</v>
      </c>
      <c r="P51" s="8">
        <f t="shared" ref="P51" si="57">((J51+K51)+F51+G51-F50-G50)/(D51*H51/100+E51*I51/100)/1000</f>
        <v>0.63839541686043899</v>
      </c>
      <c r="Q51" s="8">
        <f t="shared" ref="Q51" si="58">P51*H51*10</f>
        <v>289.32080097292277</v>
      </c>
      <c r="R51" s="8">
        <f t="shared" ref="R51" si="59">P51*I51*10</f>
        <v>334.90222984030169</v>
      </c>
      <c r="S51" s="4">
        <f t="shared" ref="S51" si="60">((J51+K51)+F51+G51-F50-G50)/(D51+E51)</f>
        <v>322.24251703380571</v>
      </c>
      <c r="T51" s="5">
        <f t="shared" ref="T51" si="61">IF(AL51&lt;3000,0,AL51)</f>
        <v>257516</v>
      </c>
      <c r="U51" s="5">
        <f t="shared" ref="U51" si="62">IF(AM51&lt;3000,0,AM51)</f>
        <v>0</v>
      </c>
      <c r="V51" s="5">
        <f t="shared" ref="V51" si="63">IF(AN51&lt;3000,0,AN51)</f>
        <v>0</v>
      </c>
      <c r="W51" s="5" t="s">
        <v>51</v>
      </c>
      <c r="X51" s="7">
        <f t="shared" ref="X51" si="64">J51+K51</f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1369.99</v>
      </c>
      <c r="AG51" s="9">
        <v>1287.671</v>
      </c>
      <c r="AH51" s="4">
        <v>250000</v>
      </c>
      <c r="AI51" s="9">
        <v>0</v>
      </c>
      <c r="AJ51" s="9">
        <v>0</v>
      </c>
      <c r="AK51" s="4">
        <f t="shared" ref="AK51" si="65">SUM(AH51:AJ51)</f>
        <v>250000</v>
      </c>
      <c r="AL51" s="5">
        <f>_xll.PIArcVal(Sheet1!$A$11,Sheet1!C51,0,"","auto")</f>
        <v>257516</v>
      </c>
      <c r="AM51" s="5">
        <f>_xll.PIArcVal(Sheet1!$A$12,Sheet1!C51,0,"","auto")</f>
        <v>223</v>
      </c>
      <c r="AN51" s="5">
        <f>_xll.PIArcVal(Sheet1!$A$13,Sheet1!C51,0,"","auto")</f>
        <v>111</v>
      </c>
    </row>
    <row r="52" spans="2:40">
      <c r="B52" s="20">
        <v>46072</v>
      </c>
      <c r="C52" s="13">
        <v>46073</v>
      </c>
      <c r="D52" s="6">
        <f>_xll.PIArcVal(Sheet1!$A$1,Sheet1!C52,0,"","auto")</f>
        <v>212.86000061035156</v>
      </c>
      <c r="E52" s="6">
        <f>_xll.PIArcVal(Sheet1!$A$2,Sheet1!C52,0,"","auto")</f>
        <v>549.45001220703125</v>
      </c>
      <c r="F52" s="7">
        <f>_xll.PIArcVal(Sheet1!$A$3,Sheet1!C52,0,"","auto")</f>
        <v>400394</v>
      </c>
      <c r="G52" s="7">
        <f>_xll.PIArcVal(Sheet1!$A$4,Sheet1!C52,0,"","auto")</f>
        <v>128267</v>
      </c>
      <c r="H52" s="6">
        <f>_xll.PIArcVal(Sheet1!$A$5,Sheet1!C52,0,"","auto")</f>
        <v>45.159999847412109</v>
      </c>
      <c r="I52" s="6">
        <f>_xll.PIArcVal(Sheet1!$A$6,Sheet1!C52,0,"","auto")</f>
        <v>52.419998168945313</v>
      </c>
      <c r="J52" s="6">
        <f>_xll.PIArcVal(Sheet1!$A$7,Sheet1!C52,0,"","auto")</f>
        <v>63311</v>
      </c>
      <c r="K52" s="6">
        <f>_xll.PIArcVal(Sheet1!$A$8,Sheet1!C52,0,"","auto")</f>
        <v>189697</v>
      </c>
      <c r="L52" s="6">
        <f>_xll.PIArcVal(Sheet1!$A$9,Sheet1!C52,0,"","auto")</f>
        <v>974.4000244140625</v>
      </c>
      <c r="M52" s="6">
        <f>_xll.PIArcVal(Sheet1!$A$10,Sheet1!C52,0,"","auto")</f>
        <v>1795.780029296875</v>
      </c>
      <c r="N52" s="8">
        <f t="shared" ref="N52" si="66">(J52+F52-F51)/(D52*H52/100)/1000</f>
        <v>0.62646955781761982</v>
      </c>
      <c r="O52" s="8">
        <f t="shared" ref="O52" si="67">(K52+G52-G51)/(E52*I52/100)/1000</f>
        <v>0.62647713196195987</v>
      </c>
      <c r="P52" s="8">
        <f t="shared" ref="P52" si="68">((J52+K52)+F52+G52-F51-G51)/(D52*H52/100+E52*I52/100)/1000</f>
        <v>0.62647523664624072</v>
      </c>
      <c r="Q52" s="8">
        <f t="shared" ref="Q52" si="69">P52*H52*10</f>
        <v>282.91621591351696</v>
      </c>
      <c r="R52" s="8">
        <f t="shared" ref="R52" si="70">P52*I52*10</f>
        <v>328.39830757885522</v>
      </c>
      <c r="S52" s="4">
        <f t="shared" ref="S52" si="71">((J52+K52)+F52+G52-F51-G51)/(D52+E52)</f>
        <v>315.69833263839331</v>
      </c>
      <c r="T52" s="5">
        <f t="shared" ref="T52" si="72">IF(AL52&lt;3000,0,AL52)</f>
        <v>253380</v>
      </c>
      <c r="U52" s="5">
        <f t="shared" ref="U52" si="73">IF(AM52&lt;3000,0,AM52)</f>
        <v>0</v>
      </c>
      <c r="V52" s="5">
        <f t="shared" ref="V52" si="74">IF(AN52&lt;3000,0,AN52)</f>
        <v>0</v>
      </c>
      <c r="W52" s="5" t="s">
        <v>51</v>
      </c>
      <c r="X52" s="7">
        <f t="shared" ref="X52" si="75">J52+K52</f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1369.99</v>
      </c>
      <c r="AG52" s="9">
        <v>1287.671</v>
      </c>
      <c r="AH52" s="4">
        <v>250000</v>
      </c>
      <c r="AI52" s="9">
        <v>0</v>
      </c>
      <c r="AJ52" s="9">
        <v>0</v>
      </c>
      <c r="AK52" s="4">
        <f t="shared" ref="AK52" si="76">SUM(AH52:AJ52)</f>
        <v>250000</v>
      </c>
      <c r="AL52" s="5">
        <f>_xll.PIArcVal(Sheet1!$A$11,Sheet1!C52,0,"","auto")</f>
        <v>253380</v>
      </c>
      <c r="AM52" s="5">
        <f>_xll.PIArcVal(Sheet1!$A$12,Sheet1!C52,0,"","auto")</f>
        <v>-228</v>
      </c>
      <c r="AN52" s="5">
        <f>_xll.PIArcVal(Sheet1!$A$13,Sheet1!C52,0,"","auto")</f>
        <v>-144</v>
      </c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2026-02-20T08:16:42Z</dcterms:modified>
</cp:coreProperties>
</file>